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autoCompressPictures="0"/>
  <xr:revisionPtr revIDLastSave="0" documentId="13_ncr:1_{30203D81-B673-410D-BCD6-570B040302CE}" xr6:coauthVersionLast="47" xr6:coauthVersionMax="47" xr10:uidLastSave="{00000000-0000-0000-0000-000000000000}"/>
  <bookViews>
    <workbookView xWindow="-110" yWindow="-110" windowWidth="19420" windowHeight="10300" activeTab="1" xr2:uid="{00000000-000D-0000-FFFF-FFFF00000000}"/>
  </bookViews>
  <sheets>
    <sheet name="Start" sheetId="28" r:id="rId1"/>
    <sheet name="Sheet2" sheetId="38" r:id="rId2"/>
    <sheet name="1. Add" sheetId="21" r:id="rId3"/>
    <sheet name="2. Fill" sheetId="23" r:id="rId4"/>
    <sheet name="3. Split" sheetId="24" r:id="rId5"/>
    <sheet name="4. Transpose" sheetId="25" r:id="rId6"/>
    <sheet name="5. Sort &amp; filter" sheetId="32" r:id="rId7"/>
    <sheet name="6. Tables" sheetId="26" r:id="rId8"/>
    <sheet name="7. Drop-downs" sheetId="27" r:id="rId9"/>
    <sheet name="8. Analyze" sheetId="33" r:id="rId10"/>
    <sheet name="9. Charts" sheetId="34" r:id="rId11"/>
    <sheet name="10. PivotTables" sheetId="35" r:id="rId12"/>
    <sheet name="Learn more" sheetId="36" r:id="rId13"/>
  </sheets>
  <definedNames>
    <definedName name="_xlnm._FilterDatabase" localSheetId="2" hidden="1">'1. Add'!$K$3:$L$19</definedName>
    <definedName name="_xlnm._FilterDatabase" localSheetId="6"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6" r:id="rId14"/>
  </pivotCaches>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G28" i="38" l="1"/>
  <c r="G26" i="38"/>
  <c r="G27" i="38"/>
  <c r="G25" i="38"/>
  <c r="G29" i="38" s="1"/>
  <c r="I8" i="21"/>
  <c r="D73" i="34"/>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<sst xmlns="http://schemas.openxmlformats.org/spreadsheetml/2006/main" count="711" uniqueCount="385">
  <si>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</si>
  <si>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</si>
  <si>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</si>
  <si>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</si>
  <si>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</si>
  <si>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</si>
  <si>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</si>
  <si>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</si>
  <si>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</si>
  <si>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</si>
  <si>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</si>
  <si>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</si>
  <si>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</si>
  <si>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</si>
  <si>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</si>
  <si>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</si>
  <si>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</si>
  <si>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</si>
  <si>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</si>
  <si>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</si>
  <si>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</si>
  <si>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</si>
  <si>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</si>
  <si>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</si>
  <si>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</si>
  <si>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</si>
  <si>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</si>
  <si>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</si>
  <si>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</si>
  <si>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</si>
  <si>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</si>
  <si>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</si>
  <si>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</si>
  <si>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</si>
  <si>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</si>
  <si>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</si>
  <si>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</si>
  <si>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</si>
  <si>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</si>
  <si>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</si>
  <si>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</si>
  <si>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</si>
  <si>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</si>
  <si>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</si>
  <si>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</si>
  <si>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</si>
  <si>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</si>
  <si>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</si>
  <si>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</si>
  <si>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</si>
  <si>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</si>
  <si>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</si>
  <si>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</si>
  <si>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</si>
  <si>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</si>
  <si>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</si>
  <si>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</si>
  <si>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</si>
  <si>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</si>
  <si>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</si>
  <si>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</si>
  <si>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</si>
  <si>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</si>
  <si>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</si>
  <si>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</si>
  <si>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</si>
  <si>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</si>
  <si>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</si>
  <si>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</si>
  <si>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</si>
  <si>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</si>
  <si>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</si>
  <si>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</si>
  <si>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</si>
  <si>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</si>
  <si>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</si>
  <si>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</si>
  <si>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</si>
  <si>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</si>
  <si>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</si>
  <si>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</si>
  <si>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</si>
  <si>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</si>
  <si>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</si>
  <si>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</si>
  <si>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</si>
  <si>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</si>
  <si>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</si>
  <si>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</si>
  <si>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</si>
  <si>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</si>
  <si>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</si>
  <si>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</si>
  <si>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</si>
  <si>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</si>
  <si>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</si>
  <si>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</si>
  <si>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</si>
  <si>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</si>
  <si>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</si>
  <si>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</si>
  <si>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</si>
  <si>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</si>
  <si>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</si>
  <si>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</si>
  <si>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</si>
  <si>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</si>
  <si>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</si>
  <si>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</si>
  <si>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</si>
  <si>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</si>
  <si>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</si>
  <si>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</si>
  <si>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</si>
  <si>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</si>
  <si>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</si>
  <si>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</si>
  <si>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</si>
  <si>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</si>
  <si>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</si>
  <si>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</si>
  <si>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</si>
  <si>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</si>
  <si>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</si>
  <si>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</si>
  <si>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</si>
  <si>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</si>
  <si>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</si>
  <si>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</si>
  <si>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</si>
  <si>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</si>
  <si>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</si>
  <si>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</si>
  <si>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</si>
  <si>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</si>
  <si>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</si>
  <si>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</si>
  <si>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</si>
  <si>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</si>
  <si>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</si>
  <si>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</si>
  <si>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</si>
  <si>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</si>
  <si>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</si>
  <si>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</si>
  <si>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</si>
  <si>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</si>
  <si>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</si>
  <si>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</si>
  <si>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</si>
  <si>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</si>
  <si>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</si>
  <si>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</si>
  <si>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</si>
  <si>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</si>
  <si>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</si>
  <si>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</si>
  <si>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</si>
  <si>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</si>
  <si>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</si>
  <si>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</si>
  <si>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</si>
  <si>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</si>
  <si>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</si>
  <si>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</si>
  <si>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</si>
  <si>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</si>
  <si>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</si>
  <si>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</si>
  <si>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</si>
  <si>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</si>
  <si>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</si>
  <si>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</si>
  <si>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</si>
  <si>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</si>
  <si>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</si>
  <si>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</si>
  <si>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</si>
  <si>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</si>
  <si>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</si>
  <si>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</si>
  <si>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</si>
  <si>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</si>
  <si>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</si>
  <si>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</si>
  <si>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</si>
  <si>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</si>
  <si>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</si>
  <si>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</si>
  <si>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</si>
  <si>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</si>
  <si>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</si>
  <si>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</si>
  <si>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</si>
  <si>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</si>
  <si>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</si>
  <si>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</si>
  <si>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</si>
  <si>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</si>
  <si>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</si>
  <si>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</si>
  <si>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</si>
  <si>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</si>
  <si>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</si>
  <si>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</si>
  <si>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</si>
  <si>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</si>
  <si>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</si>
  <si>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</si>
  <si>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</si>
  <si>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</si>
  <si>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</si>
  <si>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</si>
  <si>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</si>
  <si>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</si>
  <si>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</si>
  <si>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</si>
  <si>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</si>
  <si>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</si>
  <si>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</si>
  <si>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</si>
  <si>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</si>
  <si>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</si>
  <si>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</si>
  <si>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</si>
  <si>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</si>
  <si>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</si>
  <si>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</si>
  <si>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</si>
  <si>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</si>
  <si>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</si>
  <si>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</si>
  <si>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</si>
  <si>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</si>
  <si>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</si>
  <si>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</si>
  <si>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</si>
  <si>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</si>
  <si>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</si>
  <si>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</si>
  <si>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</si>
  <si>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</si>
  <si>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</si>
  <si>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</si>
  <si>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</si>
  <si>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</si>
  <si>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</si>
  <si>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</si>
  <si>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</si>
  <si>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</si>
  <si>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</si>
  <si>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</si>
  <si>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</si>
  <si>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</si>
  <si>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</si>
  <si>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</si>
  <si>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</si>
  <si>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</si>
  <si>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</si>
  <si>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</si>
  <si>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</si>
  <si>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</si>
  <si>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</si>
  <si>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</si>
  <si>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</si>
  <si>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</si>
  <si>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</si>
  <si>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</si>
  <si>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</si>
  <si>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</si>
  <si>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</si>
  <si>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</si>
  <si>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</si>
  <si>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</si>
  <si>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</si>
  <si>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</si>
  <si>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</si>
  <si>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</si>
  <si>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</si>
  <si>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</si>
  <si>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</si>
  <si>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</si>
  <si>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</si>
  <si>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</si>
  <si>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</si>
  <si>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</si>
  <si>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</si>
  <si>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</si>
  <si>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</si>
  <si>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</si>
  <si>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</si>
  <si>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</si>
  <si>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</si>
  <si>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</si>
  <si>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</si>
  <si>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</si>
  <si>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</si>
  <si>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</si>
  <si>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</si>
  <si>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</si>
  <si>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</si>
  <si>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</si>
  <si>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</si>
  <si>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</si>
  <si>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</si>
  <si>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</si>
  <si>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</si>
  <si>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</si>
  <si>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</si>
  <si>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</si>
  <si>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</si>
  <si>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</si>
  <si>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</si>
  <si>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</si>
  <si>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</si>
  <si>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</si>
  <si>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</si>
  <si>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</si>
  <si>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</si>
  <si>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</si>
  <si>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</si>
  <si>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</si>
  <si>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</si>
  <si>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</si>
  <si>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</si>
  <si>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</si>
  <si>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</si>
  <si>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</si>
  <si>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</si>
  <si>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</si>
  <si>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</si>
  <si>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</si>
  <si>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</si>
  <si>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</si>
  <si>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</si>
  <si>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</si>
  <si>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</si>
  <si>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</si>
  <si>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</si>
  <si>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</si>
  <si>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</si>
  <si>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</si>
  <si>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</si>
  <si>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</si>
  <si>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</si>
  <si>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</si>
  <si>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</si>
  <si>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</si>
  <si>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</si>
  <si>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</si>
  <si>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</si>
  <si>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</si>
  <si>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</si>
  <si>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</si>
  <si>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</si>
  <si>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</si>
  <si>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</si>
  <si>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</si>
  <si>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</si>
  <si>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</si>
  <si>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</si>
  <si>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</si>
  <si>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</si>
  <si>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</si>
  <si>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</si>
  <si>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</si>
  <si>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</si>
  <si>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</si>
  <si>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</si>
  <si>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</si>
  <si>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</si>
  <si>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</si>
  <si>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</si>
  <si>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</si>
  <si>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</si>
  <si>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</si>
  <si>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</si>
  <si>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</si>
  <si>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</si>
  <si>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Column1</t>
  </si>
  <si>
    <t>sum</t>
  </si>
  <si>
    <t>avg</t>
  </si>
  <si>
    <t>count</t>
  </si>
  <si>
    <t>max</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</si>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</sst>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_(&quot;$&quot;* #,##0_);_(&quot;$&quot;* \(#,##0\);_(&quot;$&quot;* &quot;-&quot;??_);_(@_)"/>
  </numFmts>
  <fonts count="17"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
      <sz val="8"/>
      <name val="Calibri"/>
      <family val="2"/>
      <scheme val="minor"/>
    </font>
    <font>
      <sz val="11"/>
      <color rgb="FF006100"/>
      <name val="Calibri"/>
      <family val="2"/>
      <scheme val="minor"/>
    </font>
  </fonts>
  <fills count="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164" fontId="1" fillId="0" borderId="0" applyFont="0" applyFill="0" applyBorder="0" applyAlignment="0" applyProtection="0"/>
    <xf numFmtId="0" fontId="6" fillId="0" borderId="0"/>
    <xf numFmtId="0" fontId="10" fillId="0" borderId="0" applyFill="0" applyBorder="0">
      <alignment wrapText="1"/>
    </xf>
    <xf numFmtId="166"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xf numFmtId="0" fontId="16" fillId="7" borderId="0" applyNumberFormat="0" applyBorder="0" applyAlignment="0" applyProtection="0"/>
  </cellStyleXfs>
  <cellXfs count="52">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164"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165" fontId="0" fillId="0" borderId="0" xfId="0" applyNumberFormat="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164" fontId="1" fillId="3" borderId="0" xfId="7" applyFill="1"/>
    <xf numFmtId="0" fontId="16" fillId="7" borderId="0" xfId="25"/>
  </cellXfs>
  <cellStyles count="26">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ood" xfId="25" builtinId="26"/>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11">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numFmt numFmtId="164" formatCode="&quot;$&quot;#,##0_);\(&quot;$&quot;#,##0\)"/>
    </dxf>
    <dxf>
      <numFmt numFmtId="164"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0"/>
      <tableStyleElement type="firstRowStripe" dxfId="9"/>
    </tableStyle>
    <tableStyle name="PivotTable Style 1" table="0" count="2" xr9:uid="{00000000-0011-0000-FFFF-FFFF01000000}">
      <tableStyleElement type="headerRow" dxfId="8"/>
      <tableStyleElement type="totalRow" dxfId="7"/>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2020</c:v>
                </c:pt>
                <c:pt idx="1">
                  <c:v>2021</c:v>
                </c:pt>
                <c:pt idx="2">
                  <c:v>2022</c:v>
                </c:pt>
                <c:pt idx="3">
                  <c:v>2023</c:v>
                </c:pt>
                <c:pt idx="4">
                  <c:v>2024</c:v>
                </c:pt>
                <c:pt idx="5">
                  <c:v>2025</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2020</c:v>
                </c:pt>
                <c:pt idx="1">
                  <c:v>2021</c:v>
                </c:pt>
                <c:pt idx="2">
                  <c:v>2022</c:v>
                </c:pt>
                <c:pt idx="3">
                  <c:v>2023</c:v>
                </c:pt>
                <c:pt idx="4">
                  <c:v>2024</c:v>
                </c:pt>
                <c:pt idx="5">
                  <c:v>2025</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2020</c:v>
                </c:pt>
                <c:pt idx="1">
                  <c:v>2021</c:v>
                </c:pt>
                <c:pt idx="2">
                  <c:v>2022</c:v>
                </c:pt>
                <c:pt idx="3">
                  <c:v>2023</c:v>
                </c:pt>
                <c:pt idx="4">
                  <c:v>2024</c:v>
                </c:pt>
                <c:pt idx="5">
                  <c:v>2025</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7054979"/>
          <a:ext cx="5729754" cy="3942417"/>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776010" y="15709747"/>
          <a:ext cx="3452719" cy="1886663"/>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3180237"/>
          <a:ext cx="5729754" cy="3747742"/>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785535" y="10916204"/>
          <a:ext cx="3739403" cy="1802094"/>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860689" y="7642784"/>
          <a:ext cx="2692826" cy="1435848"/>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95535"/>
          <a:ext cx="5729754" cy="7367803"/>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465796" y="3547969"/>
          <a:ext cx="2280210" cy="1407271"/>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29754" cy="4650441"/>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3087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733045" y="1139825"/>
          <a:ext cx="2176380" cy="177282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3087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7007225" y="9378929"/>
          <a:ext cx="36730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3087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3087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705600" y="12300756"/>
          <a:ext cx="39592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721724" y="2473325"/>
          <a:ext cx="1841501" cy="123189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311900" y="11239500"/>
          <a:ext cx="10045250"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3000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30875"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30875"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778875" y="8172449"/>
          <a:ext cx="3546475"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30875"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3087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683374" y="6105525"/>
          <a:ext cx="52213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21424" y="7362825"/>
          <a:ext cx="327506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30875"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3087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705599" y="9925049"/>
          <a:ext cx="42830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750050" y="13173075"/>
          <a:ext cx="39242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3087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78375"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845550" y="2047875"/>
          <a:ext cx="16764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673850" y="3238499"/>
          <a:ext cx="3987800" cy="156210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3087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3087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10109200" y="6210299"/>
          <a:ext cx="22447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3087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30875"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3087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3087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239250" y="11515725"/>
          <a:ext cx="2266950"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997825" y="3543299"/>
          <a:ext cx="269239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7102475" y="8486775"/>
          <a:ext cx="422275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3087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30875"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30875"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3087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956675" y="6951739"/>
          <a:ext cx="260667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937625" y="847725"/>
          <a:ext cx="279717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3087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30875"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30875"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30875"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3087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401321" y="3155155"/>
          <a:ext cx="333970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397750" y="3209925"/>
          <a:ext cx="28892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30875"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30875"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664450" y="10420350"/>
          <a:ext cx="571346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3087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83300" y="6181725"/>
          <a:ext cx="5892800"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30875"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2214225" y="13392149"/>
          <a:ext cx="15113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398408" y="14668500"/>
          <a:ext cx="31267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30875"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3087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3087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950075" y="2451566"/>
          <a:ext cx="144626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76661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7.735430555556"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5-08-11T00:00:00" maxDate="2025-10-08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5-08-11T00:00:00"/>
    <s v="Anne"/>
    <x v="0"/>
    <n v="1400"/>
  </r>
  <r>
    <d v="2025-08-16T00:00:00"/>
    <s v="Mark"/>
    <x v="1"/>
    <n v="1010"/>
  </r>
  <r>
    <d v="2025-09-02T00:00:00"/>
    <s v="Anne"/>
    <x v="0"/>
    <n v="750"/>
  </r>
  <r>
    <d v="2025-09-06T00:00:00"/>
    <s v="Mark"/>
    <x v="2"/>
    <n v="510"/>
  </r>
  <r>
    <d v="2025-09-26T00:00:00"/>
    <s v="Mariya"/>
    <x v="2"/>
    <n v="1600"/>
  </r>
  <r>
    <d v="2025-10-07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8"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A49F1D7-D380-47B4-9B85-7D1AEF55AED3}" name="Table4" displayName="Table4" ref="F8:H25" totalsRowCount="1" headerRowCellStyle="Good" dataCellStyle="Good">
  <autoFilter ref="F8:H24" xr:uid="{EA49F1D7-D380-47B4-9B85-7D1AEF55AED3}"/>
  <tableColumns count="3">
    <tableColumn id="1" xr3:uid="{6E807619-2333-4774-A51C-739FF597E6DC}" name="Fruit"/>
    <tableColumn id="2" xr3:uid="{44B454CA-2A34-4F94-BF3B-A38CB6541459}" name="Amount" totalsRowFunction="custom">
      <totalsRowFormula>SUM(G9:G24)</totalsRowFormula>
    </tableColumn>
    <tableColumn id="7" xr3:uid="{A44FDCA6-FEE4-483F-9BA4-94D3F46065CC}" name="Column1" totalsRowLabel="sum" dataCellStyle="Good"/>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headerRowCellStyle="Heading 3">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dataCellStyle="Currency"/>
    <tableColumn id="4" xr3:uid="{00000000-0010-0000-0200-000004000000}" name="Nov" dataCellStyle="Currency"/>
    <tableColumn id="5" xr3:uid="{00000000-0010-0000-0200-000005000000}" name="Dec" dataCellStyle="Currency"/>
    <tableColumn id="6" xr3:uid="{00000000-0010-0000-0200-000006000000}" name="Total" dataDxfId="6"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headerRowCellStyle="Heading 3">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5"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63913F-9499-4F8C-9681-5489A933196A}" name="Table6" displayName="Table6" ref="C5:G13" totalsRowShown="0">
  <autoFilter ref="C5:G13" xr:uid="{9363913F-9499-4F8C-9681-5489A933196A}"/>
  <tableColumns count="5">
    <tableColumn id="1" xr3:uid="{20B3AE06-6466-4D9B-A10C-DC48C4E12DCE}" name="Department"/>
    <tableColumn id="2" xr3:uid="{110836B8-1A20-4133-9A2E-2A2105457E1E}" name="Category"/>
    <tableColumn id="3" xr3:uid="{9A20B4FA-7B7B-4AFD-A97C-8E90A7F7CA68}" name="Oct"/>
    <tableColumn id="4" xr3:uid="{C22CCE70-9AC6-4B91-8CA1-D4425B9F7563}" name="Nov"/>
    <tableColumn id="5" xr3:uid="{2DFA2121-249D-4B88-9A70-E04E97010302}" name="Dec"/>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dataCellStyle="Currency"/>
    <tableColumn id="4" xr3:uid="{00000000-0010-0000-0400-000004000000}" name="Nov" dataCellStyle="Currency"/>
    <tableColumn id="5" xr3:uid="{00000000-0010-0000-0400-000005000000}" name="Dec" dataCellStyle="Currency"/>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dataCellStyle="Currency"/>
    <tableColumn id="4" xr3:uid="{00000000-0010-0000-0500-000004000000}" name="Nov" dataCellStyle="Currency"/>
    <tableColumn id="5" xr3:uid="{00000000-0010-0000-05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dataCellStyle="Currency"/>
    <tableColumn id="4" xr3:uid="{00000000-0010-0000-0600-000004000000}" name="Nov" dataCellStyle="Currency"/>
    <tableColumn id="5" xr3:uid="{00000000-0010-0000-0600-000005000000}" name="Dec" totalsRowFunction="sum" dataCellStyle="Currency"/>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1" dataCellStyle="Date"/>
    <tableColumn id="2" xr3:uid="{00000000-0010-0000-0A00-000002000000}" name="Salesperson"/>
    <tableColumn id="3" xr3:uid="{00000000-0010-0000-0A00-000003000000}" name="Product"/>
    <tableColumn id="4" xr3:uid="{00000000-0010-0000-0A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5.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hyperlink" Target="https://go.microsoft.com/fwlink/?linkid=844726" TargetMode="External"/><Relationship Id="rId7" Type="http://schemas.openxmlformats.org/officeDocument/2006/relationships/table" Target="../tables/table5.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4.xml"/><Relationship Id="rId5" Type="http://schemas.openxmlformats.org/officeDocument/2006/relationships/drawing" Target="../drawings/drawing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table" Target="../tables/table9.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11.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10.xml"/><Relationship Id="rId5" Type="http://schemas.openxmlformats.org/officeDocument/2006/relationships/drawing" Target="../drawings/drawing10.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3.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2.xml"/><Relationship Id="rId5" Type="http://schemas.openxmlformats.org/officeDocument/2006/relationships/drawing" Target="../drawings/drawing11.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opLeftCell="A4" workbookViewId="0"/>
  </sheetViews>
  <sheetFormatPr defaultColWidth="11.08984375" defaultRowHeight="20.25" customHeight="1" x14ac:dyDescent="0.35"/>
  <cols>
    <col min="1" max="1" width="129.6328125" customWidth="1"/>
    <col min="2" max="2" width="3.54296875" customWidth="1"/>
  </cols>
  <sheetData>
    <row r="1" spans="1:1" ht="15" customHeight="1" x14ac:dyDescent="0.35">
      <c r="A1" s="17" t="s">
        <v>330</v>
      </c>
    </row>
    <row r="2" spans="1:1" ht="101" x14ac:dyDescent="2.4">
      <c r="A2" s="25" t="s">
        <v>63</v>
      </c>
    </row>
    <row r="3" spans="1:1" ht="44" x14ac:dyDescent="0.5">
      <c r="A3" s="26" t="s">
        <v>103</v>
      </c>
    </row>
    <row r="4" spans="1:1" ht="264" customHeight="1" x14ac:dyDescent="0.35">
      <c r="A4" s="49" t="s">
        <v>348</v>
      </c>
    </row>
    <row r="5" spans="1:1" ht="20.25" customHeight="1" x14ac:dyDescent="0.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E317-E61C-419C-9D9B-1CFD997C29C7}">
  <dimension ref="E8:H29"/>
  <sheetViews>
    <sheetView tabSelected="1" topLeftCell="A14" workbookViewId="0">
      <selection activeCell="H30" sqref="H30"/>
    </sheetView>
  </sheetViews>
  <sheetFormatPr defaultRowHeight="14.5" x14ac:dyDescent="0.35"/>
  <cols>
    <col min="7" max="7" width="9.54296875" customWidth="1"/>
  </cols>
  <sheetData>
    <row r="8" spans="5:8" x14ac:dyDescent="0.35">
      <c r="F8" t="s">
        <v>0</v>
      </c>
      <c r="G8" t="s">
        <v>1</v>
      </c>
      <c r="H8" s="51" t="s">
        <v>379</v>
      </c>
    </row>
    <row r="9" spans="5:8" x14ac:dyDescent="0.35">
      <c r="E9">
        <v>1</v>
      </c>
      <c r="F9" t="s">
        <v>2</v>
      </c>
      <c r="G9">
        <v>50</v>
      </c>
      <c r="H9" s="51"/>
    </row>
    <row r="10" spans="5:8" x14ac:dyDescent="0.35">
      <c r="F10" t="s">
        <v>3</v>
      </c>
      <c r="G10">
        <v>20</v>
      </c>
      <c r="H10" s="51"/>
    </row>
    <row r="11" spans="5:8" x14ac:dyDescent="0.35">
      <c r="F11" t="s">
        <v>4</v>
      </c>
      <c r="G11">
        <v>60</v>
      </c>
      <c r="H11" s="51"/>
    </row>
    <row r="12" spans="5:8" x14ac:dyDescent="0.35">
      <c r="F12" t="s">
        <v>5</v>
      </c>
      <c r="G12">
        <v>40</v>
      </c>
      <c r="H12" s="51"/>
    </row>
    <row r="13" spans="5:8" x14ac:dyDescent="0.35">
      <c r="F13" t="s">
        <v>2</v>
      </c>
      <c r="G13">
        <v>50</v>
      </c>
      <c r="H13" s="51"/>
    </row>
    <row r="14" spans="5:8" x14ac:dyDescent="0.35">
      <c r="F14" t="s">
        <v>3</v>
      </c>
      <c r="G14">
        <v>20</v>
      </c>
      <c r="H14" s="51"/>
    </row>
    <row r="15" spans="5:8" x14ac:dyDescent="0.35">
      <c r="F15" t="s">
        <v>4</v>
      </c>
      <c r="G15">
        <v>60</v>
      </c>
      <c r="H15" s="51"/>
    </row>
    <row r="16" spans="5:8" x14ac:dyDescent="0.35">
      <c r="F16" t="s">
        <v>5</v>
      </c>
      <c r="G16">
        <v>40</v>
      </c>
      <c r="H16" s="51"/>
    </row>
    <row r="17" spans="6:8" x14ac:dyDescent="0.35">
      <c r="F17" t="s">
        <v>2</v>
      </c>
      <c r="G17">
        <v>50</v>
      </c>
      <c r="H17" s="51"/>
    </row>
    <row r="18" spans="6:8" x14ac:dyDescent="0.35">
      <c r="F18" t="s">
        <v>3</v>
      </c>
      <c r="G18">
        <v>20</v>
      </c>
      <c r="H18" s="51"/>
    </row>
    <row r="19" spans="6:8" x14ac:dyDescent="0.35">
      <c r="F19" t="s">
        <v>4</v>
      </c>
      <c r="G19">
        <v>60</v>
      </c>
      <c r="H19" s="51"/>
    </row>
    <row r="20" spans="6:8" x14ac:dyDescent="0.35">
      <c r="F20" t="s">
        <v>5</v>
      </c>
      <c r="G20">
        <v>40</v>
      </c>
      <c r="H20" s="51"/>
    </row>
    <row r="21" spans="6:8" x14ac:dyDescent="0.35">
      <c r="F21" t="s">
        <v>2</v>
      </c>
      <c r="G21">
        <v>50</v>
      </c>
      <c r="H21" s="51"/>
    </row>
    <row r="22" spans="6:8" x14ac:dyDescent="0.35">
      <c r="F22" t="s">
        <v>3</v>
      </c>
      <c r="G22">
        <v>20</v>
      </c>
      <c r="H22" s="51"/>
    </row>
    <row r="23" spans="6:8" x14ac:dyDescent="0.35">
      <c r="F23" t="s">
        <v>4</v>
      </c>
      <c r="G23">
        <v>60</v>
      </c>
      <c r="H23" s="51"/>
    </row>
    <row r="24" spans="6:8" x14ac:dyDescent="0.35">
      <c r="F24" t="s">
        <v>5</v>
      </c>
      <c r="G24">
        <v>40</v>
      </c>
      <c r="H24" s="51"/>
    </row>
    <row r="25" spans="6:8" x14ac:dyDescent="0.35">
      <c r="G25">
        <f>SUM(G9:G24)</f>
        <v>680</v>
      </c>
      <c r="H25" t="s">
        <v>380</v>
      </c>
    </row>
    <row r="26" spans="6:8" x14ac:dyDescent="0.35">
      <c r="G26">
        <f>AVERAGE(G9:G24)</f>
        <v>42.5</v>
      </c>
      <c r="H26" t="s">
        <v>381</v>
      </c>
    </row>
    <row r="27" spans="6:8" x14ac:dyDescent="0.35">
      <c r="G27">
        <f>COUNT(G9:G24)</f>
        <v>16</v>
      </c>
      <c r="H27" t="s">
        <v>382</v>
      </c>
    </row>
    <row r="28" spans="6:8" x14ac:dyDescent="0.35">
      <c r="G28">
        <f>MAX(G9:G24)</f>
        <v>60</v>
      </c>
      <c r="H28" t="s">
        <v>383</v>
      </c>
    </row>
    <row r="29" spans="6:8" x14ac:dyDescent="0.35">
      <c r="G29">
        <f>MIN(G9:G25)</f>
        <v>20</v>
      </c>
      <c r="H29" t="s">
        <v>384</v>
      </c>
    </row>
  </sheetData>
  <phoneticPr fontId="15"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91"/>
  <sheetViews>
    <sheetView showGridLines="0" topLeftCell="A2" zoomScale="85" zoomScaleNormal="85" zoomScalePageLayoutView="125" workbookViewId="0">
      <selection activeCell="K3" sqref="K3:L20"/>
    </sheetView>
  </sheetViews>
  <sheetFormatPr defaultColWidth="8.90625" defaultRowHeight="15" customHeight="1" x14ac:dyDescent="0.35"/>
  <cols>
    <col min="1" max="1" width="12.6328125" style="16" customWidth="1"/>
    <col min="2" max="2" width="82.90625" style="18" customWidth="1"/>
    <col min="3" max="16384" width="8.90625" style="18"/>
  </cols>
  <sheetData>
    <row r="1" spans="1:12" ht="60" customHeight="1" x14ac:dyDescent="0.75">
      <c r="A1" s="16" t="s">
        <v>104</v>
      </c>
      <c r="B1" s="22"/>
    </row>
    <row r="2" spans="1:12" ht="15" customHeight="1" x14ac:dyDescent="0.35">
      <c r="A2" s="16" t="s">
        <v>105</v>
      </c>
    </row>
    <row r="3" spans="1:12" ht="15" customHeight="1" x14ac:dyDescent="0.35">
      <c r="A3" s="16" t="s">
        <v>106</v>
      </c>
      <c r="B3" s="23"/>
      <c r="C3" s="27" t="s">
        <v>0</v>
      </c>
      <c r="D3" s="27" t="s">
        <v>1</v>
      </c>
      <c r="F3" s="27" t="s">
        <v>6</v>
      </c>
      <c r="G3" s="27" t="s">
        <v>1</v>
      </c>
      <c r="K3" s="27" t="s">
        <v>0</v>
      </c>
      <c r="L3" s="27" t="s">
        <v>1</v>
      </c>
    </row>
    <row r="4" spans="1:12" ht="15" customHeight="1" x14ac:dyDescent="0.35">
      <c r="A4" s="16" t="s">
        <v>117</v>
      </c>
      <c r="C4" s="6" t="s">
        <v>2</v>
      </c>
      <c r="D4" s="6">
        <v>50</v>
      </c>
      <c r="F4" s="6" t="s">
        <v>7</v>
      </c>
      <c r="G4" s="6">
        <v>50</v>
      </c>
      <c r="K4" s="6" t="s">
        <v>2</v>
      </c>
      <c r="L4" s="6">
        <v>50</v>
      </c>
    </row>
    <row r="5" spans="1:12" s="19" customFormat="1" ht="15" customHeight="1" x14ac:dyDescent="0.35">
      <c r="A5" s="16" t="s">
        <v>264</v>
      </c>
      <c r="C5" s="6" t="s">
        <v>3</v>
      </c>
      <c r="D5" s="6">
        <v>20</v>
      </c>
      <c r="F5" s="6" t="s">
        <v>8</v>
      </c>
      <c r="G5" s="6">
        <v>30</v>
      </c>
      <c r="K5" s="6" t="s">
        <v>3</v>
      </c>
      <c r="L5" s="6">
        <v>20</v>
      </c>
    </row>
    <row r="6" spans="1:12" s="19" customFormat="1" ht="15" customHeight="1" x14ac:dyDescent="0.35">
      <c r="A6" s="16" t="s">
        <v>138</v>
      </c>
      <c r="B6" s="24"/>
      <c r="C6" s="6" t="s">
        <v>4</v>
      </c>
      <c r="D6" s="6">
        <v>60</v>
      </c>
      <c r="F6" s="6" t="s">
        <v>9</v>
      </c>
      <c r="G6" s="6">
        <v>10</v>
      </c>
      <c r="K6" s="6" t="s">
        <v>4</v>
      </c>
      <c r="L6" s="6">
        <v>60</v>
      </c>
    </row>
    <row r="7" spans="1:12" s="19" customFormat="1" ht="15" customHeight="1" x14ac:dyDescent="0.35">
      <c r="A7" s="16" t="s">
        <v>341</v>
      </c>
      <c r="C7" s="6" t="s">
        <v>5</v>
      </c>
      <c r="D7" s="6">
        <v>40</v>
      </c>
      <c r="F7" s="6" t="s">
        <v>10</v>
      </c>
      <c r="G7" s="6">
        <v>50</v>
      </c>
      <c r="K7" s="6" t="s">
        <v>5</v>
      </c>
      <c r="L7" s="6">
        <v>40</v>
      </c>
    </row>
    <row r="8" spans="1:12" s="19" customFormat="1" ht="15" customHeight="1" x14ac:dyDescent="0.35">
      <c r="A8" s="16" t="s">
        <v>275</v>
      </c>
      <c r="D8" s="7"/>
      <c r="G8" s="7"/>
      <c r="I8" s="19">
        <f>SUM(D4:D7)</f>
        <v>170</v>
      </c>
      <c r="K8" s="6" t="s">
        <v>2</v>
      </c>
      <c r="L8" s="6">
        <v>50</v>
      </c>
    </row>
    <row r="9" spans="1:12" s="19" customFormat="1" ht="15" customHeight="1" x14ac:dyDescent="0.35">
      <c r="A9" s="16" t="s">
        <v>265</v>
      </c>
      <c r="K9" s="6" t="s">
        <v>3</v>
      </c>
      <c r="L9" s="6">
        <v>20</v>
      </c>
    </row>
    <row r="10" spans="1:12" s="19" customFormat="1" ht="15" customHeight="1" x14ac:dyDescent="0.35">
      <c r="A10" s="16" t="s">
        <v>276</v>
      </c>
      <c r="C10" s="27" t="s">
        <v>11</v>
      </c>
      <c r="D10" s="27" t="s">
        <v>1</v>
      </c>
      <c r="F10" s="27" t="s">
        <v>11</v>
      </c>
      <c r="G10" s="27" t="s">
        <v>1</v>
      </c>
      <c r="K10" s="6" t="s">
        <v>4</v>
      </c>
      <c r="L10" s="6">
        <v>60</v>
      </c>
    </row>
    <row r="11" spans="1:12" s="19" customFormat="1" ht="15" customHeight="1" x14ac:dyDescent="0.35">
      <c r="A11" s="16" t="s">
        <v>366</v>
      </c>
      <c r="C11" s="6" t="s">
        <v>12</v>
      </c>
      <c r="D11" s="6">
        <v>50</v>
      </c>
      <c r="F11" s="6" t="s">
        <v>12</v>
      </c>
      <c r="G11" s="6">
        <v>50</v>
      </c>
      <c r="K11" s="6" t="s">
        <v>5</v>
      </c>
      <c r="L11" s="6">
        <v>40</v>
      </c>
    </row>
    <row r="12" spans="1:12" s="19" customFormat="1" ht="15" customHeight="1" x14ac:dyDescent="0.35">
      <c r="A12" s="16" t="s">
        <v>277</v>
      </c>
      <c r="C12" s="6" t="s">
        <v>13</v>
      </c>
      <c r="D12" s="6">
        <v>100</v>
      </c>
      <c r="F12" s="6" t="s">
        <v>13</v>
      </c>
      <c r="G12" s="6">
        <v>100</v>
      </c>
      <c r="K12" s="6" t="s">
        <v>2</v>
      </c>
      <c r="L12" s="6">
        <v>50</v>
      </c>
    </row>
    <row r="13" spans="1:12" s="19" customFormat="1" ht="15" customHeight="1" x14ac:dyDescent="0.35">
      <c r="A13" s="16" t="s">
        <v>118</v>
      </c>
      <c r="C13" s="6" t="s">
        <v>14</v>
      </c>
      <c r="D13" s="6">
        <v>40</v>
      </c>
      <c r="F13" s="6" t="s">
        <v>14</v>
      </c>
      <c r="G13" s="6">
        <v>40</v>
      </c>
      <c r="K13" s="6" t="s">
        <v>3</v>
      </c>
      <c r="L13" s="6">
        <v>20</v>
      </c>
    </row>
    <row r="14" spans="1:12" s="19" customFormat="1" ht="15" customHeight="1" x14ac:dyDescent="0.35">
      <c r="A14" s="16"/>
      <c r="C14" s="6" t="s">
        <v>15</v>
      </c>
      <c r="D14" s="6">
        <v>50</v>
      </c>
      <c r="F14" s="6" t="s">
        <v>15</v>
      </c>
      <c r="G14" s="6">
        <v>50</v>
      </c>
      <c r="K14" s="6" t="s">
        <v>4</v>
      </c>
      <c r="L14" s="6">
        <v>60</v>
      </c>
    </row>
    <row r="15" spans="1:12" s="19" customFormat="1" ht="15" customHeight="1" thickBot="1" x14ac:dyDescent="0.4">
      <c r="A15" s="16"/>
      <c r="C15" s="6" t="s">
        <v>16</v>
      </c>
      <c r="D15" s="6">
        <v>20</v>
      </c>
      <c r="F15" s="6" t="s">
        <v>16</v>
      </c>
      <c r="G15" s="6">
        <v>20</v>
      </c>
      <c r="K15" s="6" t="s">
        <v>5</v>
      </c>
      <c r="L15" s="6">
        <v>40</v>
      </c>
    </row>
    <row r="16" spans="1:12" s="19" customFormat="1" ht="15" customHeight="1" thickTop="1" thickBot="1" x14ac:dyDescent="0.4">
      <c r="A16" s="16"/>
      <c r="D16" s="7"/>
      <c r="G16" s="20"/>
      <c r="K16" s="6" t="s">
        <v>2</v>
      </c>
      <c r="L16" s="6">
        <v>50</v>
      </c>
    </row>
    <row r="17" spans="1:12" s="19" customFormat="1" ht="15" customHeight="1" thickTop="1" x14ac:dyDescent="0.35">
      <c r="A17" s="16"/>
      <c r="K17" s="6" t="s">
        <v>3</v>
      </c>
      <c r="L17" s="6">
        <v>20</v>
      </c>
    </row>
    <row r="18" spans="1:12" s="19" customFormat="1" ht="15" customHeight="1" x14ac:dyDescent="0.35">
      <c r="A18" s="16"/>
      <c r="K18" s="6" t="s">
        <v>4</v>
      </c>
      <c r="L18" s="6">
        <v>60</v>
      </c>
    </row>
    <row r="19" spans="1:12" s="19" customFormat="1" ht="15" customHeight="1" x14ac:dyDescent="0.35">
      <c r="A19" s="16"/>
      <c r="K19" s="6" t="s">
        <v>5</v>
      </c>
      <c r="L19" s="6">
        <v>40</v>
      </c>
    </row>
    <row r="20" spans="1:12" s="19" customFormat="1" ht="15" customHeight="1" x14ac:dyDescent="0.35">
      <c r="A20" s="16"/>
    </row>
    <row r="21" spans="1:12" s="19" customFormat="1" ht="15" customHeight="1" x14ac:dyDescent="0.35">
      <c r="A21" s="16"/>
    </row>
    <row r="22" spans="1:12" s="19" customFormat="1" ht="15" customHeight="1" x14ac:dyDescent="0.35">
      <c r="A22" s="16"/>
    </row>
    <row r="23" spans="1:12" s="19" customFormat="1" ht="15" customHeight="1" x14ac:dyDescent="0.35">
      <c r="A23" s="16"/>
    </row>
    <row r="24" spans="1:12" s="19" customFormat="1" ht="15" customHeight="1" x14ac:dyDescent="0.35">
      <c r="A24" s="16"/>
    </row>
    <row r="27" spans="1:12" ht="15" customHeight="1" x14ac:dyDescent="0.35">
      <c r="A27" s="16" t="s">
        <v>107</v>
      </c>
    </row>
    <row r="28" spans="1:12" ht="15" customHeight="1" x14ac:dyDescent="0.35">
      <c r="A28" s="16" t="s">
        <v>108</v>
      </c>
    </row>
    <row r="29" spans="1:12" ht="15" customHeight="1" x14ac:dyDescent="0.35">
      <c r="A29" s="16" t="s">
        <v>266</v>
      </c>
    </row>
    <row r="30" spans="1:12" ht="15" customHeight="1" x14ac:dyDescent="0.35">
      <c r="A30" s="16" t="s">
        <v>267</v>
      </c>
    </row>
    <row r="31" spans="1:12" ht="15" customHeight="1" x14ac:dyDescent="0.35">
      <c r="A31" s="16" t="s">
        <v>268</v>
      </c>
    </row>
    <row r="32" spans="1:12" ht="15" customHeight="1" x14ac:dyDescent="0.35">
      <c r="A32" s="16" t="s">
        <v>109</v>
      </c>
    </row>
    <row r="33" spans="1:7" ht="15" customHeight="1" x14ac:dyDescent="0.35">
      <c r="A33" s="16" t="s">
        <v>332</v>
      </c>
    </row>
    <row r="34" spans="1:7" ht="15" customHeight="1" x14ac:dyDescent="0.35">
      <c r="A34" s="16" t="s">
        <v>269</v>
      </c>
    </row>
    <row r="35" spans="1:7" ht="15" customHeight="1" x14ac:dyDescent="0.35">
      <c r="A35" s="16" t="s">
        <v>270</v>
      </c>
    </row>
    <row r="36" spans="1:7" ht="15" customHeight="1" x14ac:dyDescent="0.35">
      <c r="A36" s="16" t="s">
        <v>367</v>
      </c>
    </row>
    <row r="37" spans="1:7" ht="15" customHeight="1" x14ac:dyDescent="0.35">
      <c r="A37" s="16" t="s">
        <v>271</v>
      </c>
      <c r="C37" s="27" t="s">
        <v>0</v>
      </c>
      <c r="D37" s="27" t="s">
        <v>1</v>
      </c>
    </row>
    <row r="38" spans="1:7" ht="15" customHeight="1" x14ac:dyDescent="0.35">
      <c r="A38" s="16" t="s">
        <v>272</v>
      </c>
      <c r="C38" s="6" t="s">
        <v>2</v>
      </c>
      <c r="D38" s="6">
        <v>50</v>
      </c>
      <c r="E38" s="19"/>
    </row>
    <row r="39" spans="1:7" ht="15" customHeight="1" x14ac:dyDescent="0.35">
      <c r="A39" s="16" t="s">
        <v>110</v>
      </c>
      <c r="C39" s="6" t="s">
        <v>3</v>
      </c>
      <c r="D39" s="6">
        <v>20</v>
      </c>
      <c r="E39" s="19"/>
    </row>
    <row r="40" spans="1:7" ht="15" customHeight="1" x14ac:dyDescent="0.35">
      <c r="A40" s="16" t="s">
        <v>273</v>
      </c>
      <c r="C40" s="6" t="s">
        <v>4</v>
      </c>
      <c r="D40" s="6">
        <v>60</v>
      </c>
      <c r="E40" s="19"/>
    </row>
    <row r="41" spans="1:7" ht="15" customHeight="1" x14ac:dyDescent="0.35">
      <c r="A41" s="16" t="s">
        <v>274</v>
      </c>
      <c r="C41" s="6" t="s">
        <v>5</v>
      </c>
      <c r="D41" s="6">
        <v>40</v>
      </c>
      <c r="E41" s="19"/>
    </row>
    <row r="42" spans="1:7" ht="15" customHeight="1" x14ac:dyDescent="0.35">
      <c r="A42" s="16" t="s">
        <v>136</v>
      </c>
      <c r="C42" s="19"/>
      <c r="D42" s="7">
        <f>SUM(D38:D41)</f>
        <v>170</v>
      </c>
      <c r="E42" s="19"/>
      <c r="F42" s="19"/>
      <c r="G42" s="19"/>
    </row>
    <row r="43" spans="1:7" ht="15" customHeight="1" x14ac:dyDescent="0.35">
      <c r="A43" s="16" t="s">
        <v>119</v>
      </c>
    </row>
    <row r="47" spans="1:7" ht="15" customHeight="1" x14ac:dyDescent="0.35">
      <c r="C47" s="27" t="s">
        <v>11</v>
      </c>
      <c r="D47" s="27" t="s">
        <v>1</v>
      </c>
      <c r="E47" s="19"/>
      <c r="F47" s="27" t="s">
        <v>11</v>
      </c>
      <c r="G47" s="27" t="s">
        <v>1</v>
      </c>
    </row>
    <row r="48" spans="1:7" ht="15" customHeight="1" x14ac:dyDescent="0.35">
      <c r="C48" s="6" t="s">
        <v>17</v>
      </c>
      <c r="D48" s="6">
        <v>20</v>
      </c>
      <c r="E48" s="19"/>
      <c r="F48" s="6" t="s">
        <v>18</v>
      </c>
      <c r="G48" s="6">
        <v>20</v>
      </c>
    </row>
    <row r="49" spans="3:7" ht="15" customHeight="1" x14ac:dyDescent="0.35">
      <c r="C49" s="6"/>
      <c r="D49" s="6"/>
      <c r="E49" s="19"/>
      <c r="F49" s="6" t="s">
        <v>19</v>
      </c>
      <c r="G49" s="6">
        <v>10</v>
      </c>
    </row>
    <row r="50" spans="3:7" ht="15" customHeight="1" x14ac:dyDescent="0.35">
      <c r="C50" s="6"/>
      <c r="D50" s="6"/>
      <c r="E50" s="19"/>
      <c r="F50" s="6" t="s">
        <v>20</v>
      </c>
      <c r="G50" s="6">
        <v>10</v>
      </c>
    </row>
    <row r="51" spans="3:7" ht="15" customHeight="1" x14ac:dyDescent="0.35">
      <c r="C51" s="6"/>
      <c r="D51" s="6"/>
      <c r="E51" s="19"/>
      <c r="F51" s="6" t="s">
        <v>21</v>
      </c>
      <c r="G51" s="6">
        <v>40</v>
      </c>
    </row>
    <row r="53" spans="3:7" ht="15" customHeight="1" x14ac:dyDescent="0.35">
      <c r="E53" s="27" t="s">
        <v>22</v>
      </c>
    </row>
    <row r="54" spans="3:7" ht="15" customHeight="1" x14ac:dyDescent="0.35">
      <c r="E54" s="7">
        <f>SUM(D48,G48:G51,100)</f>
        <v>200</v>
      </c>
    </row>
    <row r="66" spans="1:7" ht="15" customHeight="1" x14ac:dyDescent="0.35">
      <c r="A66" s="16" t="s">
        <v>111</v>
      </c>
    </row>
    <row r="67" spans="1:7" ht="15" customHeight="1" x14ac:dyDescent="0.35">
      <c r="A67" s="16" t="s">
        <v>278</v>
      </c>
    </row>
    <row r="68" spans="1:7" ht="15" customHeight="1" x14ac:dyDescent="0.35">
      <c r="A68" s="16" t="s">
        <v>279</v>
      </c>
    </row>
    <row r="69" spans="1:7" ht="15" customHeight="1" x14ac:dyDescent="0.35">
      <c r="A69" s="16" t="s">
        <v>368</v>
      </c>
    </row>
    <row r="70" spans="1:7" ht="15" customHeight="1" x14ac:dyDescent="0.35">
      <c r="A70" s="16" t="s">
        <v>280</v>
      </c>
    </row>
    <row r="71" spans="1:7" ht="15" customHeight="1" x14ac:dyDescent="0.35">
      <c r="A71" s="16" t="s">
        <v>137</v>
      </c>
    </row>
    <row r="72" spans="1:7" ht="15" customHeight="1" x14ac:dyDescent="0.35">
      <c r="A72" s="16" t="s">
        <v>281</v>
      </c>
      <c r="C72" s="27" t="s">
        <v>11</v>
      </c>
      <c r="D72" s="27" t="s">
        <v>1</v>
      </c>
      <c r="F72" s="27" t="s">
        <v>11</v>
      </c>
      <c r="G72" s="27" t="s">
        <v>1</v>
      </c>
    </row>
    <row r="73" spans="1:7" ht="15" customHeight="1" x14ac:dyDescent="0.35">
      <c r="A73" s="48" t="s">
        <v>369</v>
      </c>
      <c r="C73" s="6" t="s">
        <v>12</v>
      </c>
      <c r="D73" s="6">
        <v>50</v>
      </c>
      <c r="F73" s="6" t="s">
        <v>12</v>
      </c>
      <c r="G73" s="6">
        <v>50</v>
      </c>
    </row>
    <row r="74" spans="1:7" ht="15" customHeight="1" x14ac:dyDescent="0.35">
      <c r="A74" s="16" t="s">
        <v>120</v>
      </c>
      <c r="C74" s="6" t="s">
        <v>13</v>
      </c>
      <c r="D74" s="6">
        <v>100</v>
      </c>
      <c r="F74" s="6" t="s">
        <v>13</v>
      </c>
      <c r="G74" s="6">
        <v>100</v>
      </c>
    </row>
    <row r="75" spans="1:7" ht="15" customHeight="1" x14ac:dyDescent="0.35">
      <c r="C75" s="6" t="s">
        <v>14</v>
      </c>
      <c r="D75" s="6">
        <v>40</v>
      </c>
      <c r="F75" s="6" t="s">
        <v>14</v>
      </c>
      <c r="G75" s="6">
        <v>40</v>
      </c>
    </row>
    <row r="76" spans="1:7" ht="15" customHeight="1" x14ac:dyDescent="0.35">
      <c r="C76" s="6" t="s">
        <v>15</v>
      </c>
      <c r="D76" s="6">
        <v>50</v>
      </c>
      <c r="F76" s="6" t="s">
        <v>15</v>
      </c>
      <c r="G76" s="6">
        <v>50</v>
      </c>
    </row>
    <row r="77" spans="1:7" ht="15" customHeight="1" thickBot="1" x14ac:dyDescent="0.4">
      <c r="C77" s="6" t="s">
        <v>16</v>
      </c>
      <c r="D77" s="6">
        <v>20</v>
      </c>
      <c r="F77" s="6" t="s">
        <v>16</v>
      </c>
      <c r="G77" s="6">
        <v>20</v>
      </c>
    </row>
    <row r="78" spans="1:7" ht="15" customHeight="1" thickTop="1" thickBot="1" x14ac:dyDescent="0.4">
      <c r="D78" s="7">
        <f>SUMIF(D73:D77,"&gt;50")</f>
        <v>100</v>
      </c>
      <c r="F78" s="21"/>
      <c r="G78" s="20">
        <f>SUMIF(G73:G77,"&gt;=50")</f>
        <v>200</v>
      </c>
    </row>
    <row r="79" spans="1:7" ht="15" customHeight="1" thickTop="1" x14ac:dyDescent="0.35"/>
    <row r="86" spans="1:1" ht="15" customHeight="1" x14ac:dyDescent="0.35">
      <c r="A86" s="16" t="s">
        <v>113</v>
      </c>
    </row>
    <row r="87" spans="1:1" ht="15" customHeight="1" x14ac:dyDescent="0.35">
      <c r="A87" s="16" t="s">
        <v>114</v>
      </c>
    </row>
    <row r="88" spans="1:1" ht="15" customHeight="1" x14ac:dyDescent="0.35">
      <c r="A88" s="16" t="s">
        <v>115</v>
      </c>
    </row>
    <row r="89" spans="1:1" ht="15" customHeight="1" x14ac:dyDescent="0.35">
      <c r="A89" s="16" t="s">
        <v>116</v>
      </c>
    </row>
    <row r="90" spans="1:1" ht="15" customHeight="1" x14ac:dyDescent="0.35">
      <c r="A90" s="16" t="s">
        <v>362</v>
      </c>
    </row>
    <row r="91" spans="1:1" ht="15" customHeight="1" x14ac:dyDescent="0.35">
      <c r="A91" s="16" t="s">
        <v>112</v>
      </c>
    </row>
  </sheetData>
  <autoFilter ref="K3:L19" xr:uid="{00000000-0001-0000-0100-000000000000}"/>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topLeftCell="A25" zoomScaleNormal="100" zoomScalePageLayoutView="125" workbookViewId="0">
      <selection activeCell="C4" sqref="C4"/>
    </sheetView>
  </sheetViews>
  <sheetFormatPr defaultColWidth="8.90625" defaultRowHeight="15" customHeight="1" x14ac:dyDescent="0.35"/>
  <cols>
    <col min="1" max="1" width="12.6328125" style="16" customWidth="1"/>
    <col min="2" max="2" width="82.90625" customWidth="1"/>
    <col min="3" max="16384" width="8.90625" style="18"/>
  </cols>
  <sheetData>
    <row r="1" spans="1:9" ht="60" customHeight="1" x14ac:dyDescent="0.35">
      <c r="A1" s="16" t="s">
        <v>122</v>
      </c>
    </row>
    <row r="2" spans="1:9" ht="15" customHeight="1" x14ac:dyDescent="0.35">
      <c r="A2" s="16" t="s">
        <v>139</v>
      </c>
    </row>
    <row r="3" spans="1:9" ht="15" customHeight="1" x14ac:dyDescent="0.35">
      <c r="A3" s="16" t="s">
        <v>282</v>
      </c>
      <c r="C3" s="27" t="s">
        <v>23</v>
      </c>
      <c r="D3" s="27" t="s">
        <v>24</v>
      </c>
      <c r="E3" s="27" t="s">
        <v>25</v>
      </c>
      <c r="F3" s="27" t="s">
        <v>24</v>
      </c>
      <c r="G3" s="27" t="s">
        <v>25</v>
      </c>
    </row>
    <row r="4" spans="1:9" ht="15" customHeight="1" x14ac:dyDescent="0.35">
      <c r="A4" s="16" t="s">
        <v>123</v>
      </c>
      <c r="C4" s="6">
        <v>50</v>
      </c>
      <c r="D4" s="6">
        <v>50</v>
      </c>
      <c r="E4" s="7">
        <f>SUM(C4:D4)</f>
        <v>100</v>
      </c>
      <c r="F4" s="6">
        <v>75</v>
      </c>
      <c r="G4" s="6">
        <f>SUM(E4:F4)</f>
        <v>175</v>
      </c>
    </row>
    <row r="5" spans="1:9" s="19" customFormat="1" ht="15" customHeight="1" x14ac:dyDescent="0.35">
      <c r="A5" s="16" t="s">
        <v>283</v>
      </c>
      <c r="B5"/>
      <c r="C5" s="6">
        <v>50</v>
      </c>
      <c r="D5" s="6">
        <v>60</v>
      </c>
      <c r="E5" s="6"/>
      <c r="F5" s="6">
        <v>75</v>
      </c>
      <c r="G5" s="6"/>
      <c r="H5" s="18"/>
      <c r="I5" s="18"/>
    </row>
    <row r="6" spans="1:9" s="19" customFormat="1" ht="15" customHeight="1" x14ac:dyDescent="0.35">
      <c r="A6" s="16" t="s">
        <v>284</v>
      </c>
      <c r="B6"/>
      <c r="C6" s="6">
        <v>50</v>
      </c>
      <c r="D6" s="6">
        <v>70</v>
      </c>
      <c r="E6" s="6"/>
      <c r="F6" s="6">
        <v>75</v>
      </c>
      <c r="G6" s="6"/>
      <c r="H6" s="18"/>
      <c r="I6" s="18"/>
    </row>
    <row r="7" spans="1:9" s="19" customFormat="1" ht="15" customHeight="1" x14ac:dyDescent="0.35">
      <c r="A7" s="16" t="s">
        <v>285</v>
      </c>
      <c r="B7"/>
      <c r="C7" s="6">
        <v>50</v>
      </c>
      <c r="D7" s="6">
        <v>80</v>
      </c>
      <c r="E7" s="6"/>
      <c r="F7" s="6">
        <v>75</v>
      </c>
      <c r="G7" s="6"/>
      <c r="H7" s="18"/>
      <c r="I7" s="18"/>
    </row>
    <row r="8" spans="1:9" s="19" customFormat="1" ht="15" customHeight="1" x14ac:dyDescent="0.35">
      <c r="A8" s="16" t="s">
        <v>124</v>
      </c>
      <c r="B8"/>
      <c r="C8" s="18"/>
      <c r="D8" s="18"/>
      <c r="E8" s="18"/>
      <c r="F8" s="18"/>
      <c r="G8" s="18"/>
      <c r="H8" s="18"/>
      <c r="I8" s="18"/>
    </row>
    <row r="9" spans="1:9" s="19" customFormat="1" ht="15" customHeight="1" x14ac:dyDescent="0.35">
      <c r="A9" s="16" t="s">
        <v>125</v>
      </c>
      <c r="B9"/>
      <c r="C9" s="18"/>
      <c r="D9" s="18"/>
      <c r="E9" s="18"/>
      <c r="F9" s="18"/>
      <c r="G9" s="18"/>
      <c r="H9" s="18"/>
      <c r="I9" s="18"/>
    </row>
    <row r="10" spans="1:9" s="19" customFormat="1" ht="15" customHeight="1" x14ac:dyDescent="0.35">
      <c r="A10" s="16"/>
      <c r="B10"/>
      <c r="C10" s="27" t="s">
        <v>23</v>
      </c>
      <c r="D10" s="27" t="s">
        <v>24</v>
      </c>
      <c r="E10" s="27" t="s">
        <v>25</v>
      </c>
      <c r="F10" s="27" t="s">
        <v>24</v>
      </c>
      <c r="G10" s="27" t="s">
        <v>25</v>
      </c>
      <c r="H10" s="18"/>
      <c r="I10" s="18"/>
    </row>
    <row r="11" spans="1:9" s="19" customFormat="1" ht="15" customHeight="1" x14ac:dyDescent="0.35">
      <c r="A11" s="16"/>
      <c r="B11"/>
      <c r="C11" s="6">
        <v>50</v>
      </c>
      <c r="D11" s="6">
        <v>50</v>
      </c>
      <c r="E11" s="6">
        <f>SUM(C11:D11)</f>
        <v>100</v>
      </c>
      <c r="F11" s="6">
        <v>75</v>
      </c>
      <c r="G11" s="6">
        <f>SUM(E11:F11)</f>
        <v>175</v>
      </c>
      <c r="H11" s="18"/>
      <c r="I11" s="18"/>
    </row>
    <row r="12" spans="1:9" s="19" customFormat="1" ht="15" customHeight="1" x14ac:dyDescent="0.35">
      <c r="A12" s="16"/>
      <c r="B12"/>
      <c r="C12" s="6">
        <v>50</v>
      </c>
      <c r="D12" s="6">
        <v>60</v>
      </c>
      <c r="E12" s="6">
        <f t="shared" ref="E12:E14" si="0">SUM(C12:D12)</f>
        <v>110</v>
      </c>
      <c r="F12" s="6">
        <v>75</v>
      </c>
      <c r="G12" s="6">
        <f t="shared" ref="G12:G14" si="1">SUM(E12:F12)</f>
        <v>185</v>
      </c>
      <c r="H12" s="18"/>
      <c r="I12" s="18"/>
    </row>
    <row r="13" spans="1:9" s="19" customFormat="1" ht="15" customHeight="1" x14ac:dyDescent="0.35">
      <c r="A13" s="16"/>
      <c r="B13"/>
      <c r="C13" s="6">
        <v>50</v>
      </c>
      <c r="D13" s="6">
        <v>70</v>
      </c>
      <c r="E13" s="6">
        <f t="shared" si="0"/>
        <v>120</v>
      </c>
      <c r="F13" s="6">
        <v>75</v>
      </c>
      <c r="G13" s="6">
        <f t="shared" si="1"/>
        <v>195</v>
      </c>
      <c r="H13" s="18"/>
      <c r="I13" s="18"/>
    </row>
    <row r="14" spans="1:9" s="19" customFormat="1" ht="15" customHeight="1" x14ac:dyDescent="0.35">
      <c r="A14" s="16"/>
      <c r="B14"/>
      <c r="C14" s="42">
        <v>50</v>
      </c>
      <c r="D14" s="42">
        <v>80</v>
      </c>
      <c r="E14" s="42">
        <f t="shared" si="0"/>
        <v>130</v>
      </c>
      <c r="F14" s="42">
        <v>75</v>
      </c>
      <c r="G14" s="42">
        <f t="shared" si="1"/>
        <v>205</v>
      </c>
      <c r="H14" s="18"/>
      <c r="I14" s="18"/>
    </row>
    <row r="15" spans="1:9" s="19" customFormat="1" ht="15" customHeight="1" x14ac:dyDescent="0.35">
      <c r="A15" s="16"/>
      <c r="B15"/>
      <c r="C15" s="7">
        <f>SUM(C11:C14)</f>
        <v>200</v>
      </c>
      <c r="D15" s="6"/>
      <c r="E15" s="6"/>
      <c r="F15" s="6"/>
      <c r="G15" s="6"/>
      <c r="H15" s="18"/>
      <c r="I15" s="18"/>
    </row>
    <row r="16" spans="1:9" s="19" customFormat="1" ht="15" customHeight="1" x14ac:dyDescent="0.35">
      <c r="A16" s="16"/>
      <c r="B16"/>
      <c r="H16" s="18"/>
      <c r="I16" s="18"/>
    </row>
    <row r="17" spans="1:9" s="19" customFormat="1" ht="15" customHeight="1" x14ac:dyDescent="0.35">
      <c r="A17" s="16"/>
      <c r="B17"/>
      <c r="H17" s="18"/>
      <c r="I17" s="18"/>
    </row>
    <row r="18" spans="1:9" s="19" customFormat="1" ht="15" customHeight="1" x14ac:dyDescent="0.35">
      <c r="A18" s="16"/>
      <c r="B18"/>
      <c r="C18" s="18"/>
      <c r="D18" s="18"/>
      <c r="E18" s="18"/>
      <c r="F18" s="18"/>
      <c r="G18" s="18"/>
      <c r="H18" s="18"/>
      <c r="I18" s="18"/>
    </row>
    <row r="19" spans="1:9" s="19" customFormat="1" ht="15" customHeight="1" x14ac:dyDescent="0.35">
      <c r="A19" s="16"/>
      <c r="B19"/>
      <c r="C19" s="18"/>
      <c r="D19" s="18"/>
      <c r="E19" s="18"/>
      <c r="F19" s="18"/>
      <c r="G19" s="18"/>
      <c r="H19" s="18"/>
      <c r="I19" s="18"/>
    </row>
    <row r="20" spans="1:9" s="19" customFormat="1" ht="15" customHeight="1" x14ac:dyDescent="0.35">
      <c r="A20" s="16"/>
      <c r="B20"/>
      <c r="C20" s="18"/>
      <c r="D20" s="18"/>
      <c r="E20" s="18"/>
      <c r="F20" s="18"/>
      <c r="G20" s="18"/>
      <c r="H20" s="18"/>
      <c r="I20" s="18"/>
    </row>
    <row r="21" spans="1:9" s="19" customFormat="1" ht="15" customHeight="1" x14ac:dyDescent="0.35">
      <c r="A21" s="16"/>
      <c r="B21"/>
      <c r="C21" s="18"/>
      <c r="D21" s="18"/>
      <c r="E21" s="18"/>
      <c r="F21" s="18"/>
      <c r="G21" s="18"/>
      <c r="H21" s="18"/>
      <c r="I21" s="18"/>
    </row>
    <row r="22" spans="1:9" s="19" customFormat="1" ht="15" customHeight="1" x14ac:dyDescent="0.35">
      <c r="A22" s="16"/>
      <c r="B22"/>
    </row>
    <row r="23" spans="1:9" s="19" customFormat="1" ht="15" customHeight="1" x14ac:dyDescent="0.35">
      <c r="A23" s="16"/>
      <c r="B23"/>
    </row>
    <row r="24" spans="1:9" s="19" customFormat="1" ht="15" customHeight="1" x14ac:dyDescent="0.35">
      <c r="A24" s="16"/>
      <c r="B24"/>
    </row>
    <row r="27" spans="1:9" ht="15" customHeight="1" x14ac:dyDescent="0.35">
      <c r="A27" s="16" t="s">
        <v>126</v>
      </c>
    </row>
    <row r="28" spans="1:9" ht="15" customHeight="1" x14ac:dyDescent="0.35">
      <c r="A28" s="16" t="s">
        <v>127</v>
      </c>
    </row>
    <row r="29" spans="1:9" ht="15" customHeight="1" x14ac:dyDescent="0.35">
      <c r="A29" s="16" t="s">
        <v>286</v>
      </c>
    </row>
    <row r="30" spans="1:9" ht="15" customHeight="1" x14ac:dyDescent="0.35">
      <c r="A30" s="16" t="s">
        <v>287</v>
      </c>
    </row>
    <row r="31" spans="1:9" ht="15" customHeight="1" x14ac:dyDescent="0.35">
      <c r="A31" s="16" t="s">
        <v>140</v>
      </c>
    </row>
    <row r="33" spans="3:8" ht="15" customHeight="1" x14ac:dyDescent="0.35">
      <c r="C33" s="27" t="s">
        <v>34</v>
      </c>
      <c r="D33" s="27" t="s">
        <v>26</v>
      </c>
      <c r="E33" s="27" t="s">
        <v>27</v>
      </c>
      <c r="F33" s="27" t="s">
        <v>33</v>
      </c>
    </row>
    <row r="34" spans="3:8" ht="15" customHeight="1" x14ac:dyDescent="0.35">
      <c r="C34" s="43" t="s">
        <v>28</v>
      </c>
      <c r="D34" s="43" t="s">
        <v>0</v>
      </c>
      <c r="E34" s="6" t="s">
        <v>29</v>
      </c>
      <c r="F34" s="6">
        <v>100</v>
      </c>
    </row>
    <row r="35" spans="3:8" ht="15" customHeight="1" x14ac:dyDescent="0.35">
      <c r="C35" s="6"/>
      <c r="D35" s="6"/>
      <c r="E35" s="6" t="s">
        <v>30</v>
      </c>
      <c r="F35" s="6">
        <v>200</v>
      </c>
    </row>
    <row r="36" spans="3:8" ht="15" customHeight="1" x14ac:dyDescent="0.35">
      <c r="C36" s="6"/>
      <c r="D36" s="6"/>
      <c r="E36" s="6" t="s">
        <v>31</v>
      </c>
      <c r="F36" s="6">
        <v>50</v>
      </c>
    </row>
    <row r="37" spans="3:8" ht="15" customHeight="1" x14ac:dyDescent="0.35">
      <c r="C37" s="6"/>
      <c r="D37" s="6"/>
      <c r="E37" s="6" t="s">
        <v>32</v>
      </c>
      <c r="F37" s="6">
        <v>100</v>
      </c>
    </row>
    <row r="46" spans="3:8" ht="15" customHeight="1" thickBot="1" x14ac:dyDescent="0.4">
      <c r="C46" s="27"/>
      <c r="D46" s="27" t="s">
        <v>35</v>
      </c>
      <c r="E46" s="27"/>
      <c r="F46" s="27"/>
    </row>
    <row r="47" spans="3:8" ht="15" customHeight="1" thickTop="1" thickBot="1" x14ac:dyDescent="0.4">
      <c r="C47" s="43" t="s">
        <v>36</v>
      </c>
      <c r="D47" s="6">
        <v>35</v>
      </c>
      <c r="E47" s="6">
        <v>44</v>
      </c>
      <c r="F47" s="6">
        <v>79</v>
      </c>
      <c r="H47" s="20" t="s">
        <v>61</v>
      </c>
    </row>
    <row r="48" spans="3:8" ht="15" customHeight="1" thickTop="1" x14ac:dyDescent="0.35">
      <c r="C48" s="6"/>
      <c r="D48" s="6">
        <v>74</v>
      </c>
      <c r="E48" s="6">
        <v>64</v>
      </c>
      <c r="F48" s="6">
        <v>56</v>
      </c>
      <c r="H48" s="6"/>
    </row>
    <row r="49" spans="1:8" ht="15" customHeight="1" x14ac:dyDescent="0.35">
      <c r="C49" s="6"/>
      <c r="D49" s="6">
        <v>82</v>
      </c>
      <c r="E49" s="6">
        <v>50</v>
      </c>
      <c r="F49" s="6">
        <v>83</v>
      </c>
      <c r="H49" s="6"/>
    </row>
    <row r="50" spans="1:8" ht="15" customHeight="1" x14ac:dyDescent="0.35">
      <c r="C50" s="6"/>
      <c r="D50" s="6">
        <v>90</v>
      </c>
      <c r="E50" s="6">
        <v>22</v>
      </c>
      <c r="F50" s="6">
        <v>89</v>
      </c>
      <c r="H50" s="6"/>
    </row>
    <row r="60" spans="1:8" ht="15" customHeight="1" x14ac:dyDescent="0.35">
      <c r="C60" s="27" t="s">
        <v>37</v>
      </c>
      <c r="D60" s="27"/>
      <c r="E60" s="27"/>
      <c r="F60" s="27"/>
      <c r="G60" s="27"/>
      <c r="H60" s="27"/>
    </row>
    <row r="61" spans="1:8" ht="15" customHeight="1" x14ac:dyDescent="0.35">
      <c r="C61" s="43">
        <v>15</v>
      </c>
      <c r="D61" s="43">
        <v>30</v>
      </c>
      <c r="E61" s="6"/>
      <c r="F61" s="6"/>
      <c r="G61" s="6"/>
      <c r="H61" s="6"/>
    </row>
    <row r="64" spans="1:8" ht="15" customHeight="1" x14ac:dyDescent="0.35">
      <c r="A64" s="16" t="s">
        <v>113</v>
      </c>
    </row>
    <row r="65" spans="1:1" ht="15" customHeight="1" x14ac:dyDescent="0.35">
      <c r="A65" s="16" t="s">
        <v>141</v>
      </c>
    </row>
    <row r="66" spans="1:1" ht="15" customHeight="1" x14ac:dyDescent="0.35">
      <c r="A66" s="16" t="s">
        <v>142</v>
      </c>
    </row>
    <row r="67" spans="1:1" ht="15" customHeight="1" x14ac:dyDescent="0.35">
      <c r="A67" s="16" t="s">
        <v>112</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90625" defaultRowHeight="15" customHeight="1" x14ac:dyDescent="0.35"/>
  <cols>
    <col min="1" max="1" width="12.6328125" style="16" customWidth="1"/>
    <col min="2" max="2" width="82.90625" customWidth="1"/>
    <col min="3" max="3" width="33.90625" customWidth="1"/>
    <col min="4" max="4" width="10.36328125" customWidth="1"/>
    <col min="5" max="5" width="9.90625" customWidth="1"/>
    <col min="6" max="7" width="15.54296875" customWidth="1"/>
    <col min="8" max="8" width="9.90625" customWidth="1"/>
  </cols>
  <sheetData>
    <row r="1" spans="1:8" ht="60" customHeight="1" x14ac:dyDescent="0.35">
      <c r="A1" s="16" t="s">
        <v>128</v>
      </c>
    </row>
    <row r="2" spans="1:8" ht="15" customHeight="1" x14ac:dyDescent="0.35">
      <c r="A2" s="16" t="s">
        <v>342</v>
      </c>
    </row>
    <row r="3" spans="1:8" ht="15" customHeight="1" x14ac:dyDescent="0.35">
      <c r="A3" s="16" t="s">
        <v>343</v>
      </c>
    </row>
    <row r="4" spans="1:8" ht="15" customHeight="1" x14ac:dyDescent="0.35">
      <c r="A4" s="16" t="s">
        <v>143</v>
      </c>
      <c r="C4" s="27" t="s">
        <v>38</v>
      </c>
      <c r="D4" s="27" t="s">
        <v>39</v>
      </c>
      <c r="E4" s="27" t="s">
        <v>40</v>
      </c>
    </row>
    <row r="5" spans="1:8" s="3" customFormat="1" ht="15" customHeight="1" x14ac:dyDescent="0.35">
      <c r="A5" s="16" t="s">
        <v>144</v>
      </c>
      <c r="B5"/>
      <c r="C5" s="31" t="s">
        <v>88</v>
      </c>
      <c r="D5" s="10"/>
      <c r="E5" s="32" t="s">
        <v>41</v>
      </c>
      <c r="F5"/>
      <c r="G5"/>
      <c r="H5"/>
    </row>
    <row r="6" spans="1:8" s="3" customFormat="1" ht="15" customHeight="1" x14ac:dyDescent="0.35">
      <c r="A6" s="16" t="s">
        <v>288</v>
      </c>
      <c r="B6"/>
      <c r="C6" s="31" t="s">
        <v>95</v>
      </c>
      <c r="D6"/>
      <c r="E6" s="32"/>
      <c r="F6"/>
      <c r="G6"/>
      <c r="H6"/>
    </row>
    <row r="7" spans="1:8" s="3" customFormat="1" ht="15" customHeight="1" x14ac:dyDescent="0.35">
      <c r="A7" s="16" t="s">
        <v>125</v>
      </c>
      <c r="B7"/>
      <c r="C7" s="31" t="s">
        <v>90</v>
      </c>
      <c r="D7"/>
      <c r="E7" s="32"/>
      <c r="F7"/>
      <c r="G7"/>
      <c r="H7"/>
    </row>
    <row r="8" spans="1:8" s="3" customFormat="1" ht="15" customHeight="1" x14ac:dyDescent="0.35">
      <c r="A8" s="16"/>
      <c r="B8"/>
      <c r="C8" s="31" t="s">
        <v>89</v>
      </c>
      <c r="D8"/>
      <c r="E8" s="32"/>
      <c r="F8"/>
      <c r="G8"/>
      <c r="H8"/>
    </row>
    <row r="9" spans="1:8" s="3" customFormat="1" ht="15" customHeight="1" x14ac:dyDescent="0.35">
      <c r="A9" s="16"/>
      <c r="B9"/>
      <c r="C9" s="33" t="s">
        <v>100</v>
      </c>
      <c r="D9" s="45"/>
      <c r="E9" s="46"/>
      <c r="F9"/>
      <c r="G9"/>
      <c r="H9"/>
    </row>
    <row r="10" spans="1:8" s="3" customFormat="1" ht="15" customHeight="1" x14ac:dyDescent="0.35">
      <c r="A10" s="16"/>
      <c r="B10"/>
      <c r="C10"/>
      <c r="D10"/>
      <c r="E10"/>
      <c r="F10"/>
      <c r="G10"/>
      <c r="H10"/>
    </row>
    <row r="11" spans="1:8" s="3" customFormat="1" ht="15" customHeight="1" x14ac:dyDescent="0.35">
      <c r="A11" s="16"/>
      <c r="B11"/>
      <c r="C11"/>
      <c r="D11"/>
      <c r="E11"/>
      <c r="F11"/>
      <c r="G11"/>
      <c r="H11"/>
    </row>
    <row r="12" spans="1:8" s="3" customFormat="1" ht="15" customHeight="1" x14ac:dyDescent="0.35">
      <c r="A12" s="16"/>
      <c r="B12"/>
      <c r="C12"/>
      <c r="D12"/>
      <c r="E12"/>
      <c r="F12"/>
      <c r="G12"/>
      <c r="H12"/>
    </row>
    <row r="13" spans="1:8" s="3" customFormat="1" ht="15" customHeight="1" x14ac:dyDescent="0.35">
      <c r="A13" s="16"/>
      <c r="B13"/>
      <c r="C13"/>
      <c r="D13"/>
      <c r="E13"/>
      <c r="F13"/>
      <c r="G13"/>
      <c r="H13"/>
    </row>
    <row r="14" spans="1:8" s="3" customFormat="1" ht="15" customHeight="1" x14ac:dyDescent="0.35">
      <c r="A14" s="16"/>
      <c r="B14"/>
      <c r="C14"/>
      <c r="D14"/>
      <c r="E14"/>
      <c r="F14"/>
      <c r="G14"/>
      <c r="H14"/>
    </row>
    <row r="15" spans="1:8" s="3" customFormat="1" ht="15" customHeight="1" x14ac:dyDescent="0.35">
      <c r="A15" s="16"/>
      <c r="B15"/>
      <c r="C15"/>
      <c r="D15"/>
      <c r="E15"/>
      <c r="F15"/>
      <c r="G15"/>
      <c r="H15"/>
    </row>
    <row r="16" spans="1:8" s="3" customFormat="1" ht="15" customHeight="1" x14ac:dyDescent="0.35">
      <c r="A16" s="16"/>
      <c r="B16"/>
      <c r="C16"/>
      <c r="D16"/>
      <c r="E16"/>
      <c r="F16"/>
      <c r="G16"/>
      <c r="H16"/>
    </row>
    <row r="17" spans="1:8" s="3" customFormat="1" ht="15" customHeight="1" x14ac:dyDescent="0.35">
      <c r="A17" s="16"/>
      <c r="B17"/>
      <c r="C17"/>
      <c r="D17"/>
      <c r="E17"/>
      <c r="F17"/>
      <c r="G17"/>
      <c r="H17"/>
    </row>
    <row r="18" spans="1:8" s="3" customFormat="1" ht="15" customHeight="1" x14ac:dyDescent="0.35">
      <c r="A18" s="16"/>
      <c r="B18"/>
      <c r="C18"/>
      <c r="D18"/>
      <c r="E18"/>
      <c r="F18"/>
      <c r="G18"/>
      <c r="H18"/>
    </row>
    <row r="19" spans="1:8" s="3" customFormat="1" ht="15" customHeight="1" x14ac:dyDescent="0.35">
      <c r="A19" s="16"/>
      <c r="B19"/>
      <c r="C19"/>
      <c r="D19"/>
      <c r="E19"/>
      <c r="F19"/>
      <c r="G19"/>
      <c r="H19"/>
    </row>
    <row r="20" spans="1:8" s="3" customFormat="1" ht="15" customHeight="1" x14ac:dyDescent="0.35">
      <c r="A20" s="16"/>
      <c r="B20"/>
      <c r="C20"/>
      <c r="D20"/>
      <c r="E20"/>
      <c r="F20"/>
      <c r="G20"/>
      <c r="H20"/>
    </row>
    <row r="21" spans="1:8" s="3" customFormat="1" ht="15" customHeight="1" x14ac:dyDescent="0.35">
      <c r="A21" s="16"/>
      <c r="B21"/>
      <c r="C21"/>
      <c r="D21"/>
      <c r="E21"/>
      <c r="F21"/>
      <c r="G21"/>
      <c r="H21"/>
    </row>
    <row r="22" spans="1:8" s="3" customFormat="1" ht="15" customHeight="1" x14ac:dyDescent="0.35">
      <c r="A22" s="16"/>
      <c r="B22"/>
    </row>
    <row r="23" spans="1:8" s="3" customFormat="1" ht="15" customHeight="1" x14ac:dyDescent="0.35">
      <c r="A23" s="16"/>
      <c r="B23"/>
    </row>
    <row r="24" spans="1:8" s="3" customFormat="1" ht="15" customHeight="1" x14ac:dyDescent="0.35">
      <c r="A24" s="16"/>
      <c r="B24"/>
    </row>
    <row r="27" spans="1:8" ht="15" customHeight="1" x14ac:dyDescent="0.35">
      <c r="A27" s="16" t="s">
        <v>145</v>
      </c>
    </row>
    <row r="28" spans="1:8" ht="15" customHeight="1" x14ac:dyDescent="0.35">
      <c r="A28" s="16" t="s">
        <v>146</v>
      </c>
    </row>
    <row r="29" spans="1:8" ht="15" customHeight="1" x14ac:dyDescent="0.35">
      <c r="A29" s="16" t="s">
        <v>289</v>
      </c>
    </row>
    <row r="30" spans="1:8" ht="15" customHeight="1" x14ac:dyDescent="0.35">
      <c r="A30" s="16" t="s">
        <v>290</v>
      </c>
    </row>
    <row r="31" spans="1:8" ht="15" customHeight="1" x14ac:dyDescent="0.35">
      <c r="A31" s="16" t="s">
        <v>291</v>
      </c>
      <c r="C31" s="27" t="s">
        <v>42</v>
      </c>
      <c r="D31" s="27" t="s">
        <v>39</v>
      </c>
      <c r="E31" s="27" t="s">
        <v>40</v>
      </c>
      <c r="F31" s="47" t="s">
        <v>99</v>
      </c>
    </row>
    <row r="32" spans="1:8" ht="15" customHeight="1" x14ac:dyDescent="0.35">
      <c r="A32" s="16" t="s">
        <v>292</v>
      </c>
      <c r="C32" s="8" t="s">
        <v>91</v>
      </c>
    </row>
    <row r="33" spans="1:6" ht="15" customHeight="1" x14ac:dyDescent="0.35">
      <c r="A33" s="16" t="s">
        <v>293</v>
      </c>
      <c r="C33" s="8" t="s">
        <v>92</v>
      </c>
    </row>
    <row r="34" spans="1:6" ht="15" customHeight="1" x14ac:dyDescent="0.35">
      <c r="A34" s="16" t="s">
        <v>294</v>
      </c>
      <c r="C34" s="8" t="s">
        <v>93</v>
      </c>
    </row>
    <row r="35" spans="1:6" ht="15" customHeight="1" x14ac:dyDescent="0.35">
      <c r="A35" s="16" t="s">
        <v>147</v>
      </c>
      <c r="C35" s="8" t="s">
        <v>94</v>
      </c>
    </row>
    <row r="36" spans="1:6" ht="15" customHeight="1" x14ac:dyDescent="0.35">
      <c r="C36" s="8" t="s">
        <v>96</v>
      </c>
    </row>
    <row r="37" spans="1:6" ht="15" customHeight="1" x14ac:dyDescent="0.35">
      <c r="C37" s="8" t="s">
        <v>97</v>
      </c>
    </row>
    <row r="38" spans="1:6" ht="15" customHeight="1" x14ac:dyDescent="0.35">
      <c r="C38" s="8" t="s">
        <v>98</v>
      </c>
    </row>
    <row r="39" spans="1:6" ht="15" customHeight="1" x14ac:dyDescent="0.35">
      <c r="C39" s="29" t="s">
        <v>102</v>
      </c>
      <c r="D39" s="30"/>
      <c r="E39" s="30"/>
      <c r="F39" s="30"/>
    </row>
    <row r="40" spans="1:6" ht="15" customHeight="1" x14ac:dyDescent="0.35">
      <c r="C40" s="11"/>
      <c r="D40" s="11"/>
      <c r="E40" s="11"/>
      <c r="F40" s="11"/>
    </row>
    <row r="49" spans="1:8" ht="15" customHeight="1" x14ac:dyDescent="0.35">
      <c r="A49" s="16" t="s">
        <v>148</v>
      </c>
    </row>
    <row r="50" spans="1:8" ht="15" customHeight="1" x14ac:dyDescent="0.35">
      <c r="A50" s="16" t="s">
        <v>149</v>
      </c>
    </row>
    <row r="51" spans="1:8" ht="15" customHeight="1" x14ac:dyDescent="0.35">
      <c r="A51" s="16" t="s">
        <v>370</v>
      </c>
    </row>
    <row r="52" spans="1:8" ht="15" customHeight="1" x14ac:dyDescent="0.35">
      <c r="A52" s="16" t="s">
        <v>155</v>
      </c>
    </row>
    <row r="53" spans="1:8" ht="15" customHeight="1" x14ac:dyDescent="0.35">
      <c r="A53" s="16" t="s">
        <v>150</v>
      </c>
    </row>
    <row r="54" spans="1:8" ht="15" customHeight="1" x14ac:dyDescent="0.35">
      <c r="A54" s="16" t="s">
        <v>151</v>
      </c>
    </row>
    <row r="55" spans="1:8" ht="15" customHeight="1" x14ac:dyDescent="0.35">
      <c r="A55" s="16" t="s">
        <v>152</v>
      </c>
      <c r="C55" s="27" t="s">
        <v>62</v>
      </c>
      <c r="E55" s="27" t="s">
        <v>39</v>
      </c>
      <c r="F55" s="47" t="s">
        <v>43</v>
      </c>
      <c r="G55" s="27" t="s">
        <v>101</v>
      </c>
      <c r="H55" s="27" t="s">
        <v>40</v>
      </c>
    </row>
    <row r="56" spans="1:8" ht="15" customHeight="1" x14ac:dyDescent="0.35">
      <c r="A56" s="16" t="s">
        <v>153</v>
      </c>
      <c r="C56" s="6" t="s">
        <v>44</v>
      </c>
      <c r="E56" s="7" t="str">
        <f>LEFT(C56,FIND(" ",C56)-1)</f>
        <v>Yvonne</v>
      </c>
      <c r="F56" s="7" t="str">
        <f>RIGHT(C56,LEN(C56)-FIND(" ",C56))</f>
        <v>Francis McKay</v>
      </c>
      <c r="G56" s="7" t="str">
        <f>LEFT(F56,FIND(" ",F56)-1)</f>
        <v>Francis</v>
      </c>
      <c r="H56" s="7" t="str">
        <f>RIGHT(F56,LEN(F56)-FIND(" ",F56))</f>
        <v>McKay</v>
      </c>
    </row>
    <row r="57" spans="1:8" ht="15" customHeight="1" x14ac:dyDescent="0.35">
      <c r="A57" s="16" t="s">
        <v>371</v>
      </c>
    </row>
    <row r="58" spans="1:8" ht="15" customHeight="1" x14ac:dyDescent="0.35">
      <c r="A58" s="16" t="s">
        <v>154</v>
      </c>
    </row>
    <row r="59" spans="1:8" ht="15" customHeight="1" x14ac:dyDescent="0.35">
      <c r="A59" s="16" t="s">
        <v>156</v>
      </c>
    </row>
    <row r="60" spans="1:8" ht="15" customHeight="1" x14ac:dyDescent="0.35">
      <c r="A60" s="16" t="s">
        <v>157</v>
      </c>
    </row>
    <row r="61" spans="1:8" ht="15" customHeight="1" x14ac:dyDescent="0.35">
      <c r="A61" s="16" t="s">
        <v>295</v>
      </c>
    </row>
    <row r="62" spans="1:8" ht="15" customHeight="1" x14ac:dyDescent="0.35">
      <c r="A62" s="16" t="s">
        <v>372</v>
      </c>
    </row>
    <row r="63" spans="1:8" ht="15" customHeight="1" x14ac:dyDescent="0.35">
      <c r="A63" s="16" t="s">
        <v>177</v>
      </c>
    </row>
    <row r="79" spans="1:1" ht="15" customHeight="1" x14ac:dyDescent="0.35">
      <c r="A79" s="16" t="s">
        <v>113</v>
      </c>
    </row>
    <row r="80" spans="1:1" ht="15" customHeight="1" x14ac:dyDescent="0.35">
      <c r="A80" s="16" t="s">
        <v>158</v>
      </c>
    </row>
    <row r="81" spans="1:1" ht="15" customHeight="1" x14ac:dyDescent="0.35">
      <c r="A81" s="16" t="s">
        <v>159</v>
      </c>
    </row>
    <row r="82" spans="1:1" ht="15" customHeight="1" x14ac:dyDescent="0.35">
      <c r="A82" s="16" t="s">
        <v>160</v>
      </c>
    </row>
    <row r="83" spans="1:1" ht="15" customHeight="1" x14ac:dyDescent="0.35">
      <c r="A83" s="16" t="s">
        <v>161</v>
      </c>
    </row>
    <row r="84" spans="1:1" ht="15" customHeight="1" x14ac:dyDescent="0.35">
      <c r="A84" s="16" t="s">
        <v>162</v>
      </c>
    </row>
    <row r="85" spans="1:1" ht="15" customHeight="1" x14ac:dyDescent="0.35">
      <c r="A85" s="16" t="s">
        <v>163</v>
      </c>
    </row>
    <row r="86" spans="1:1" ht="15" customHeight="1" x14ac:dyDescent="0.35">
      <c r="A86" s="16" t="s">
        <v>112</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90625" defaultRowHeight="15" customHeight="1" x14ac:dyDescent="0.35"/>
  <cols>
    <col min="1" max="1" width="12.6328125" style="16" customWidth="1"/>
    <col min="2" max="2" width="82.90625" customWidth="1"/>
  </cols>
  <sheetData>
    <row r="1" spans="1:8" ht="60" customHeight="1" x14ac:dyDescent="0.35">
      <c r="A1" s="16" t="s">
        <v>129</v>
      </c>
    </row>
    <row r="2" spans="1:8" ht="15" customHeight="1" x14ac:dyDescent="0.35">
      <c r="A2" s="16" t="s">
        <v>164</v>
      </c>
    </row>
    <row r="3" spans="1:8" ht="15" customHeight="1" x14ac:dyDescent="0.35">
      <c r="A3" s="16" t="s">
        <v>165</v>
      </c>
    </row>
    <row r="4" spans="1:8" ht="15" customHeight="1" x14ac:dyDescent="0.35">
      <c r="A4" s="16" t="s">
        <v>166</v>
      </c>
    </row>
    <row r="5" spans="1:8" s="3" customFormat="1" ht="15" customHeight="1" x14ac:dyDescent="0.35">
      <c r="A5" s="16" t="s">
        <v>167</v>
      </c>
      <c r="B5"/>
      <c r="C5" s="27" t="s">
        <v>11</v>
      </c>
      <c r="D5" s="6" t="s">
        <v>12</v>
      </c>
      <c r="E5" s="6" t="s">
        <v>13</v>
      </c>
      <c r="F5" s="6" t="s">
        <v>14</v>
      </c>
      <c r="G5" s="6" t="s">
        <v>15</v>
      </c>
      <c r="H5" s="6" t="s">
        <v>16</v>
      </c>
    </row>
    <row r="6" spans="1:8" s="3" customFormat="1" ht="15" customHeight="1" x14ac:dyDescent="0.35">
      <c r="A6" s="16" t="s">
        <v>296</v>
      </c>
      <c r="B6"/>
      <c r="C6" s="27" t="s">
        <v>1</v>
      </c>
      <c r="D6" s="6">
        <v>50</v>
      </c>
      <c r="E6" s="6">
        <v>100</v>
      </c>
      <c r="F6" s="6">
        <v>40</v>
      </c>
      <c r="G6" s="6">
        <v>50</v>
      </c>
      <c r="H6" s="6">
        <v>20</v>
      </c>
    </row>
    <row r="7" spans="1:8" s="3" customFormat="1" ht="15" customHeight="1" x14ac:dyDescent="0.35">
      <c r="A7" s="16" t="s">
        <v>297</v>
      </c>
      <c r="B7"/>
      <c r="C7"/>
      <c r="D7"/>
      <c r="E7"/>
      <c r="F7"/>
      <c r="G7"/>
      <c r="H7"/>
    </row>
    <row r="8" spans="1:8" s="3" customFormat="1" ht="15" customHeight="1" x14ac:dyDescent="0.35">
      <c r="A8" s="16" t="s">
        <v>168</v>
      </c>
      <c r="B8"/>
      <c r="C8"/>
      <c r="D8"/>
      <c r="E8"/>
      <c r="F8"/>
      <c r="G8"/>
      <c r="H8"/>
    </row>
    <row r="9" spans="1:8" s="3" customFormat="1" ht="15" customHeight="1" x14ac:dyDescent="0.35">
      <c r="A9" s="16" t="s">
        <v>118</v>
      </c>
      <c r="B9" t="s">
        <v>169</v>
      </c>
      <c r="C9" s="7"/>
      <c r="D9"/>
      <c r="E9"/>
      <c r="F9"/>
      <c r="G9"/>
      <c r="H9"/>
    </row>
    <row r="10" spans="1:8" s="3" customFormat="1" ht="15" customHeight="1" x14ac:dyDescent="0.35">
      <c r="A10" s="16"/>
      <c r="B10"/>
      <c r="C10"/>
      <c r="D10"/>
      <c r="E10"/>
      <c r="F10"/>
      <c r="G10"/>
      <c r="H10"/>
    </row>
    <row r="11" spans="1:8" s="3" customFormat="1" ht="15" customHeight="1" x14ac:dyDescent="0.35">
      <c r="A11" s="16"/>
      <c r="B11"/>
      <c r="C11"/>
      <c r="D11"/>
      <c r="E11"/>
      <c r="F11"/>
      <c r="G11"/>
      <c r="H11"/>
    </row>
    <row r="12" spans="1:8" s="3" customFormat="1" ht="15" customHeight="1" x14ac:dyDescent="0.35">
      <c r="A12" s="16"/>
      <c r="B12"/>
      <c r="C12"/>
      <c r="D12"/>
      <c r="E12"/>
      <c r="F12"/>
      <c r="G12"/>
      <c r="H12"/>
    </row>
    <row r="13" spans="1:8" s="3" customFormat="1" ht="15" customHeight="1" x14ac:dyDescent="0.35">
      <c r="A13" s="16"/>
      <c r="B13"/>
      <c r="C13"/>
      <c r="D13"/>
      <c r="E13"/>
      <c r="F13"/>
      <c r="G13"/>
      <c r="H13"/>
    </row>
    <row r="14" spans="1:8" s="3" customFormat="1" ht="15" customHeight="1" x14ac:dyDescent="0.35">
      <c r="A14" s="16"/>
      <c r="B14"/>
      <c r="C14"/>
      <c r="D14"/>
      <c r="E14"/>
      <c r="F14"/>
      <c r="G14"/>
      <c r="H14"/>
    </row>
    <row r="15" spans="1:8" s="3" customFormat="1" ht="15" customHeight="1" x14ac:dyDescent="0.35">
      <c r="A15" s="16"/>
      <c r="B15"/>
      <c r="C15"/>
      <c r="D15"/>
      <c r="E15"/>
      <c r="F15"/>
      <c r="G15"/>
      <c r="H15"/>
    </row>
    <row r="16" spans="1:8" s="3" customFormat="1" ht="15" customHeight="1" x14ac:dyDescent="0.35">
      <c r="A16" s="16"/>
      <c r="B16"/>
      <c r="C16"/>
      <c r="D16"/>
      <c r="E16"/>
      <c r="F16"/>
      <c r="G16"/>
      <c r="H16"/>
    </row>
    <row r="17" spans="1:8" s="3" customFormat="1" ht="15" customHeight="1" x14ac:dyDescent="0.35">
      <c r="A17" s="16"/>
      <c r="B17"/>
      <c r="C17"/>
      <c r="D17"/>
      <c r="E17"/>
      <c r="F17"/>
      <c r="G17"/>
      <c r="H17"/>
    </row>
    <row r="18" spans="1:8" s="3" customFormat="1" ht="15" customHeight="1" x14ac:dyDescent="0.35">
      <c r="A18" s="16"/>
      <c r="B18"/>
      <c r="C18"/>
      <c r="D18"/>
      <c r="E18"/>
      <c r="F18"/>
      <c r="G18"/>
      <c r="H18"/>
    </row>
    <row r="19" spans="1:8" s="3" customFormat="1" ht="15" customHeight="1" x14ac:dyDescent="0.35">
      <c r="A19" s="16"/>
      <c r="B19"/>
      <c r="C19"/>
      <c r="D19"/>
      <c r="E19"/>
      <c r="F19"/>
      <c r="G19"/>
      <c r="H19"/>
    </row>
    <row r="20" spans="1:8" s="3" customFormat="1" ht="15" customHeight="1" x14ac:dyDescent="0.35">
      <c r="A20" s="16"/>
      <c r="B20"/>
      <c r="C20"/>
      <c r="D20"/>
      <c r="E20"/>
      <c r="F20"/>
      <c r="G20"/>
      <c r="H20"/>
    </row>
    <row r="21" spans="1:8" s="3" customFormat="1" ht="15" customHeight="1" x14ac:dyDescent="0.35">
      <c r="A21" s="16"/>
      <c r="B21"/>
      <c r="C21"/>
      <c r="D21"/>
      <c r="E21"/>
      <c r="F21"/>
      <c r="G21"/>
      <c r="H21"/>
    </row>
    <row r="22" spans="1:8" s="3" customFormat="1" ht="15" customHeight="1" x14ac:dyDescent="0.35">
      <c r="A22" s="16"/>
      <c r="B22"/>
    </row>
    <row r="23" spans="1:8" s="3" customFormat="1" ht="15" customHeight="1" x14ac:dyDescent="0.35">
      <c r="A23" s="16"/>
      <c r="B23"/>
    </row>
    <row r="24" spans="1:8" s="3" customFormat="1" ht="15" customHeight="1" x14ac:dyDescent="0.35">
      <c r="A24" s="16"/>
      <c r="B24"/>
    </row>
    <row r="27" spans="1:8" ht="15" customHeight="1" x14ac:dyDescent="0.35">
      <c r="A27" s="16" t="s">
        <v>171</v>
      </c>
    </row>
    <row r="28" spans="1:8" ht="15" customHeight="1" x14ac:dyDescent="0.35">
      <c r="A28" s="16" t="s">
        <v>172</v>
      </c>
    </row>
    <row r="29" spans="1:8" ht="15" customHeight="1" x14ac:dyDescent="0.35">
      <c r="A29" s="16" t="s">
        <v>344</v>
      </c>
    </row>
    <row r="30" spans="1:8" ht="15" customHeight="1" x14ac:dyDescent="0.35">
      <c r="A30" s="48" t="s">
        <v>353</v>
      </c>
    </row>
    <row r="31" spans="1:8" ht="15" customHeight="1" x14ac:dyDescent="0.35">
      <c r="A31" s="16" t="s">
        <v>173</v>
      </c>
    </row>
    <row r="32" spans="1:8" ht="15" customHeight="1" x14ac:dyDescent="0.35">
      <c r="A32" s="16" t="s">
        <v>174</v>
      </c>
    </row>
    <row r="33" spans="1:8" ht="15" customHeight="1" x14ac:dyDescent="0.35">
      <c r="A33" s="16" t="s">
        <v>178</v>
      </c>
      <c r="C33" s="27" t="s">
        <v>11</v>
      </c>
      <c r="D33" s="6" t="s">
        <v>12</v>
      </c>
      <c r="E33" s="6" t="s">
        <v>13</v>
      </c>
      <c r="F33" s="6" t="s">
        <v>14</v>
      </c>
      <c r="G33" s="6" t="s">
        <v>15</v>
      </c>
      <c r="H33" s="6" t="s">
        <v>16</v>
      </c>
    </row>
    <row r="34" spans="1:8" ht="15" customHeight="1" x14ac:dyDescent="0.35">
      <c r="C34" s="27" t="s">
        <v>1</v>
      </c>
      <c r="D34" s="6">
        <v>50</v>
      </c>
      <c r="E34" s="6">
        <v>100</v>
      </c>
      <c r="F34" s="6">
        <v>40</v>
      </c>
      <c r="G34" s="6">
        <v>50</v>
      </c>
      <c r="H34" s="6">
        <v>20</v>
      </c>
    </row>
    <row r="40" spans="1:8" ht="15" customHeight="1" x14ac:dyDescent="0.35">
      <c r="C40" s="7"/>
      <c r="D40" s="7"/>
    </row>
    <row r="41" spans="1:8" ht="15" customHeight="1" x14ac:dyDescent="0.35">
      <c r="C41" s="7"/>
      <c r="D41" s="7"/>
    </row>
    <row r="42" spans="1:8" ht="15" customHeight="1" x14ac:dyDescent="0.35">
      <c r="C42" s="7"/>
      <c r="D42" s="7"/>
    </row>
    <row r="43" spans="1:8" ht="15" customHeight="1" x14ac:dyDescent="0.35">
      <c r="C43" s="7"/>
      <c r="D43" s="7"/>
    </row>
    <row r="44" spans="1:8" ht="15" customHeight="1" x14ac:dyDescent="0.35">
      <c r="C44" s="7"/>
      <c r="D44" s="7"/>
    </row>
    <row r="45" spans="1:8" ht="15" customHeight="1" x14ac:dyDescent="0.35">
      <c r="C45" s="7"/>
      <c r="D45" s="7"/>
    </row>
    <row r="54" spans="1:1" ht="15" customHeight="1" x14ac:dyDescent="0.35">
      <c r="A54" s="16" t="s">
        <v>179</v>
      </c>
    </row>
    <row r="55" spans="1:1" ht="15" customHeight="1" x14ac:dyDescent="0.35">
      <c r="A55" s="16" t="s">
        <v>180</v>
      </c>
    </row>
    <row r="56" spans="1:1" ht="15" customHeight="1" x14ac:dyDescent="0.35">
      <c r="A56" s="16" t="s">
        <v>181</v>
      </c>
    </row>
    <row r="57" spans="1:1" ht="15" customHeight="1" x14ac:dyDescent="0.35">
      <c r="A57" s="16" t="s">
        <v>175</v>
      </c>
    </row>
    <row r="58" spans="1:1" ht="15" customHeight="1" x14ac:dyDescent="0.35">
      <c r="A58" s="16" t="s">
        <v>176</v>
      </c>
    </row>
    <row r="59" spans="1:1" ht="15" customHeight="1" x14ac:dyDescent="0.35">
      <c r="A59" s="16" t="s">
        <v>182</v>
      </c>
    </row>
    <row r="72" spans="1:1" ht="15" customHeight="1" x14ac:dyDescent="0.35">
      <c r="A72" s="16" t="s">
        <v>113</v>
      </c>
    </row>
    <row r="73" spans="1:1" ht="15" customHeight="1" x14ac:dyDescent="0.35">
      <c r="A73" s="16" t="s">
        <v>183</v>
      </c>
    </row>
    <row r="74" spans="1:1" ht="15" customHeight="1" x14ac:dyDescent="0.35">
      <c r="A74" s="16" t="s">
        <v>184</v>
      </c>
    </row>
    <row r="75" spans="1:1" ht="15" customHeight="1" x14ac:dyDescent="0.35">
      <c r="A75" s="16" t="s">
        <v>185</v>
      </c>
    </row>
    <row r="76" spans="1:1" ht="15" customHeight="1" x14ac:dyDescent="0.35">
      <c r="A76" s="16" t="s">
        <v>112</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C1" zoomScaleNormal="100" zoomScalePageLayoutView="125" workbookViewId="0">
      <selection activeCell="H12" sqref="H12:I12"/>
    </sheetView>
  </sheetViews>
  <sheetFormatPr defaultColWidth="8.90625" defaultRowHeight="15" customHeight="1" x14ac:dyDescent="0.35"/>
  <cols>
    <col min="1" max="1" width="12.6328125" style="16" customWidth="1"/>
    <col min="2" max="2" width="82.90625" customWidth="1"/>
    <col min="3" max="3" width="15.08984375" customWidth="1"/>
    <col min="4" max="4" width="12.54296875" customWidth="1"/>
    <col min="5" max="5" width="8.36328125" customWidth="1"/>
    <col min="6" max="6" width="9.36328125" customWidth="1"/>
    <col min="7" max="7" width="10.90625" customWidth="1"/>
  </cols>
  <sheetData>
    <row r="1" spans="1:7" ht="60" customHeight="1" x14ac:dyDescent="0.35">
      <c r="A1" s="16" t="s">
        <v>130</v>
      </c>
    </row>
    <row r="2" spans="1:7" ht="15" customHeight="1" x14ac:dyDescent="0.35">
      <c r="A2" s="16" t="s">
        <v>304</v>
      </c>
    </row>
    <row r="3" spans="1:7" ht="15" customHeight="1" x14ac:dyDescent="0.35">
      <c r="A3" s="16" t="s">
        <v>298</v>
      </c>
    </row>
    <row r="4" spans="1:7" ht="15" customHeight="1" x14ac:dyDescent="0.35">
      <c r="A4" s="16" t="s">
        <v>299</v>
      </c>
    </row>
    <row r="5" spans="1:7" s="3" customFormat="1" ht="15" customHeight="1" x14ac:dyDescent="0.35">
      <c r="A5" s="16" t="s">
        <v>300</v>
      </c>
      <c r="B5"/>
      <c r="C5" s="27" t="s">
        <v>46</v>
      </c>
      <c r="D5" s="27" t="s">
        <v>26</v>
      </c>
      <c r="E5" s="27" t="s">
        <v>47</v>
      </c>
      <c r="F5" s="27" t="s">
        <v>48</v>
      </c>
      <c r="G5" s="27" t="s">
        <v>49</v>
      </c>
    </row>
    <row r="6" spans="1:7" s="3" customFormat="1" ht="15" customHeight="1" x14ac:dyDescent="0.35">
      <c r="A6" s="16" t="s">
        <v>301</v>
      </c>
      <c r="B6"/>
      <c r="C6" s="6" t="s">
        <v>6</v>
      </c>
      <c r="D6" s="6" t="s">
        <v>7</v>
      </c>
      <c r="E6" s="50">
        <v>90000</v>
      </c>
      <c r="F6" s="50">
        <v>110000</v>
      </c>
      <c r="G6" s="50">
        <v>120000</v>
      </c>
    </row>
    <row r="7" spans="1:7" s="3" customFormat="1" ht="15" customHeight="1" x14ac:dyDescent="0.35">
      <c r="A7" s="16" t="s">
        <v>302</v>
      </c>
      <c r="B7"/>
      <c r="C7" t="s">
        <v>45</v>
      </c>
      <c r="D7" t="s">
        <v>52</v>
      </c>
      <c r="E7" s="36">
        <v>25000</v>
      </c>
      <c r="F7" s="36">
        <v>80000</v>
      </c>
      <c r="G7" s="36">
        <v>120000</v>
      </c>
    </row>
    <row r="8" spans="1:7" s="3" customFormat="1" ht="15" customHeight="1" x14ac:dyDescent="0.35">
      <c r="A8" s="16" t="s">
        <v>118</v>
      </c>
      <c r="B8"/>
      <c r="C8" s="6" t="s">
        <v>28</v>
      </c>
      <c r="D8" s="6" t="s">
        <v>0</v>
      </c>
      <c r="E8" s="50">
        <v>10000</v>
      </c>
      <c r="F8" s="50">
        <v>30000</v>
      </c>
      <c r="G8" s="50">
        <v>40000</v>
      </c>
    </row>
    <row r="9" spans="1:7" s="3" customFormat="1" ht="15" customHeight="1" x14ac:dyDescent="0.35">
      <c r="A9" s="16"/>
      <c r="B9"/>
      <c r="C9" t="s">
        <v>28</v>
      </c>
      <c r="D9" t="s">
        <v>50</v>
      </c>
      <c r="E9" s="36">
        <v>30000</v>
      </c>
      <c r="F9" s="36">
        <v>80000</v>
      </c>
      <c r="G9" s="36">
        <v>30000</v>
      </c>
    </row>
    <row r="10" spans="1:7" s="3" customFormat="1" ht="15" customHeight="1" x14ac:dyDescent="0.35">
      <c r="A10" s="16"/>
      <c r="B10"/>
      <c r="C10" s="6" t="s">
        <v>53</v>
      </c>
      <c r="D10" s="6" t="s">
        <v>54</v>
      </c>
      <c r="E10" s="50">
        <v>90000</v>
      </c>
      <c r="F10" s="50">
        <v>35000</v>
      </c>
      <c r="G10" s="50">
        <v>25000</v>
      </c>
    </row>
    <row r="11" spans="1:7" s="3" customFormat="1" ht="15" customHeight="1" x14ac:dyDescent="0.35">
      <c r="A11" s="16"/>
      <c r="B11"/>
      <c r="C11" t="s">
        <v>6</v>
      </c>
      <c r="D11" t="s">
        <v>8</v>
      </c>
      <c r="E11" s="36">
        <v>75000</v>
      </c>
      <c r="F11" s="36">
        <v>82000</v>
      </c>
      <c r="G11" s="36">
        <v>2000000</v>
      </c>
    </row>
    <row r="12" spans="1:7" s="3" customFormat="1" ht="15" customHeight="1" x14ac:dyDescent="0.35">
      <c r="A12" s="16"/>
      <c r="B12"/>
      <c r="C12" s="5" t="s">
        <v>45</v>
      </c>
      <c r="D12" s="5" t="s">
        <v>51</v>
      </c>
      <c r="E12" s="28">
        <v>30000</v>
      </c>
      <c r="F12" s="28">
        <v>15000</v>
      </c>
      <c r="G12" s="28">
        <v>20000</v>
      </c>
    </row>
    <row r="13" spans="1:7" s="3" customFormat="1" ht="15" customHeight="1" x14ac:dyDescent="0.35">
      <c r="A13" s="16"/>
      <c r="B13"/>
      <c r="C13" t="s">
        <v>53</v>
      </c>
      <c r="D13" t="s">
        <v>64</v>
      </c>
      <c r="E13" s="36">
        <v>80000</v>
      </c>
      <c r="F13" s="36">
        <v>40000</v>
      </c>
      <c r="G13" s="36">
        <v>20000</v>
      </c>
    </row>
    <row r="14" spans="1:7" s="3" customFormat="1" ht="15" customHeight="1" x14ac:dyDescent="0.35">
      <c r="A14" s="16"/>
      <c r="B14"/>
      <c r="C14"/>
      <c r="D14"/>
      <c r="E14"/>
      <c r="F14"/>
      <c r="G14"/>
    </row>
    <row r="15" spans="1:7" s="3" customFormat="1" ht="15" customHeight="1" x14ac:dyDescent="0.35">
      <c r="A15" s="16"/>
      <c r="B15"/>
      <c r="C15"/>
      <c r="D15"/>
      <c r="E15"/>
      <c r="F15"/>
      <c r="G15"/>
    </row>
    <row r="16" spans="1:7" s="3" customFormat="1" ht="15" customHeight="1" x14ac:dyDescent="0.35">
      <c r="A16" s="16"/>
      <c r="B16"/>
      <c r="C16"/>
      <c r="D16"/>
      <c r="E16"/>
      <c r="F16"/>
      <c r="G16"/>
    </row>
    <row r="17" spans="1:7" s="3" customFormat="1" ht="15" customHeight="1" x14ac:dyDescent="0.35">
      <c r="A17" s="16"/>
      <c r="B17"/>
      <c r="C17"/>
      <c r="D17"/>
      <c r="E17"/>
      <c r="F17"/>
      <c r="G17"/>
    </row>
    <row r="18" spans="1:7" s="3" customFormat="1" ht="15" customHeight="1" x14ac:dyDescent="0.35">
      <c r="A18" s="16"/>
      <c r="B18"/>
      <c r="C18"/>
      <c r="D18"/>
      <c r="E18"/>
      <c r="F18"/>
      <c r="G18"/>
    </row>
    <row r="19" spans="1:7" s="3" customFormat="1" ht="15" customHeight="1" x14ac:dyDescent="0.35">
      <c r="A19" s="16"/>
      <c r="B19"/>
      <c r="C19"/>
      <c r="D19"/>
      <c r="E19"/>
      <c r="F19"/>
      <c r="G19"/>
    </row>
    <row r="20" spans="1:7" s="3" customFormat="1" ht="15" customHeight="1" x14ac:dyDescent="0.35">
      <c r="A20" s="16"/>
      <c r="B20"/>
      <c r="C20"/>
      <c r="D20"/>
      <c r="E20"/>
      <c r="F20"/>
      <c r="G20"/>
    </row>
    <row r="21" spans="1:7" s="3" customFormat="1" ht="15" customHeight="1" x14ac:dyDescent="0.35">
      <c r="A21" s="16"/>
      <c r="B21"/>
      <c r="C21"/>
      <c r="D21"/>
      <c r="E21"/>
      <c r="F21"/>
      <c r="G21"/>
    </row>
    <row r="22" spans="1:7" s="3" customFormat="1" ht="15" customHeight="1" x14ac:dyDescent="0.35">
      <c r="A22" s="16"/>
      <c r="B22"/>
    </row>
    <row r="23" spans="1:7" s="3" customFormat="1" ht="15" customHeight="1" x14ac:dyDescent="0.35">
      <c r="A23" s="16"/>
      <c r="B23"/>
    </row>
    <row r="24" spans="1:7" s="3" customFormat="1" ht="15" customHeight="1" x14ac:dyDescent="0.35">
      <c r="A24" s="16"/>
      <c r="B24"/>
    </row>
    <row r="27" spans="1:7" ht="15" customHeight="1" x14ac:dyDescent="0.35">
      <c r="A27" s="16" t="s">
        <v>186</v>
      </c>
    </row>
    <row r="28" spans="1:7" ht="15" customHeight="1" x14ac:dyDescent="0.35">
      <c r="A28" s="16" t="s">
        <v>305</v>
      </c>
    </row>
    <row r="29" spans="1:7" ht="15" customHeight="1" x14ac:dyDescent="0.35">
      <c r="A29" s="16" t="s">
        <v>303</v>
      </c>
    </row>
    <row r="30" spans="1:7" ht="15" customHeight="1" x14ac:dyDescent="0.35">
      <c r="A30" s="16" t="s">
        <v>306</v>
      </c>
    </row>
    <row r="31" spans="1:7" ht="15" customHeight="1" x14ac:dyDescent="0.35">
      <c r="A31" s="16" t="s">
        <v>365</v>
      </c>
      <c r="C31" t="s">
        <v>67</v>
      </c>
      <c r="D31" t="s">
        <v>68</v>
      </c>
      <c r="E31" t="s">
        <v>57</v>
      </c>
      <c r="F31" t="s">
        <v>69</v>
      </c>
    </row>
    <row r="32" spans="1:7" ht="15" customHeight="1" x14ac:dyDescent="0.35">
      <c r="A32" s="16" t="s">
        <v>188</v>
      </c>
      <c r="C32" s="41">
        <f ca="1">TODAY()-2</f>
        <v>45963</v>
      </c>
      <c r="D32" t="s">
        <v>70</v>
      </c>
      <c r="E32" s="34">
        <v>21</v>
      </c>
      <c r="F32" s="35">
        <v>3820</v>
      </c>
    </row>
    <row r="33" spans="1:6" ht="15" customHeight="1" x14ac:dyDescent="0.35">
      <c r="A33" s="16" t="s">
        <v>189</v>
      </c>
      <c r="C33" s="41">
        <f ca="1">TODAY()-3</f>
        <v>45962</v>
      </c>
      <c r="D33" t="s">
        <v>71</v>
      </c>
      <c r="E33" s="34">
        <v>62</v>
      </c>
      <c r="F33" s="34">
        <v>2112</v>
      </c>
    </row>
    <row r="34" spans="1:6" ht="15" customHeight="1" x14ac:dyDescent="0.35">
      <c r="C34" s="41">
        <f ca="1">TODAY()-6</f>
        <v>45959</v>
      </c>
      <c r="D34" t="s">
        <v>73</v>
      </c>
      <c r="E34" s="34">
        <v>25</v>
      </c>
      <c r="F34" s="34">
        <v>1611</v>
      </c>
    </row>
    <row r="35" spans="1:6" ht="15" customHeight="1" x14ac:dyDescent="0.35">
      <c r="C35" s="41">
        <f ca="1">TODAY()</f>
        <v>45965</v>
      </c>
      <c r="D35" t="s">
        <v>72</v>
      </c>
      <c r="E35" s="34">
        <v>30</v>
      </c>
      <c r="F35" s="35">
        <v>3085</v>
      </c>
    </row>
    <row r="36" spans="1:6" ht="15" customHeight="1" x14ac:dyDescent="0.35">
      <c r="C36" s="41">
        <f ca="1">TODAY()-4</f>
        <v>45961</v>
      </c>
      <c r="D36" t="s">
        <v>75</v>
      </c>
      <c r="E36" s="34">
        <v>69</v>
      </c>
      <c r="F36" s="34">
        <v>528</v>
      </c>
    </row>
    <row r="37" spans="1:6" ht="15" customHeight="1" x14ac:dyDescent="0.35">
      <c r="C37" s="41">
        <f ca="1">TODAY()-5</f>
        <v>45960</v>
      </c>
      <c r="D37" t="s">
        <v>74</v>
      </c>
      <c r="E37" s="34">
        <v>45</v>
      </c>
      <c r="F37" s="35">
        <v>5050</v>
      </c>
    </row>
    <row r="43" spans="1:6" ht="15" customHeight="1" x14ac:dyDescent="0.35">
      <c r="A43" s="16" t="s">
        <v>187</v>
      </c>
    </row>
    <row r="44" spans="1:6" ht="15" customHeight="1" x14ac:dyDescent="0.35">
      <c r="A44" s="16" t="s">
        <v>307</v>
      </c>
    </row>
    <row r="45" spans="1:6" ht="15" customHeight="1" x14ac:dyDescent="0.35">
      <c r="A45" s="16" t="s">
        <v>333</v>
      </c>
    </row>
    <row r="46" spans="1:6" ht="15" customHeight="1" x14ac:dyDescent="0.35">
      <c r="A46" s="16" t="s">
        <v>334</v>
      </c>
    </row>
    <row r="47" spans="1:6" ht="15" customHeight="1" x14ac:dyDescent="0.35">
      <c r="A47" s="16" t="s">
        <v>206</v>
      </c>
    </row>
    <row r="49" spans="1:6" ht="15" customHeight="1" x14ac:dyDescent="0.35">
      <c r="C49" t="s">
        <v>67</v>
      </c>
      <c r="D49" t="s">
        <v>68</v>
      </c>
      <c r="E49" t="s">
        <v>57</v>
      </c>
      <c r="F49" t="s">
        <v>69</v>
      </c>
    </row>
    <row r="50" spans="1:6" ht="15" customHeight="1" x14ac:dyDescent="0.35">
      <c r="C50" s="41">
        <f ca="1">TODAY()-2</f>
        <v>45963</v>
      </c>
      <c r="D50" t="s">
        <v>70</v>
      </c>
      <c r="E50" s="34">
        <v>21</v>
      </c>
      <c r="F50" s="34">
        <v>3820</v>
      </c>
    </row>
    <row r="51" spans="1:6" ht="15" customHeight="1" x14ac:dyDescent="0.35">
      <c r="C51" s="41">
        <f ca="1">TODAY()-3</f>
        <v>45962</v>
      </c>
      <c r="D51" t="s">
        <v>71</v>
      </c>
      <c r="E51" s="34">
        <v>62</v>
      </c>
      <c r="F51" s="34">
        <v>2112</v>
      </c>
    </row>
    <row r="52" spans="1:6" ht="15" customHeight="1" x14ac:dyDescent="0.35">
      <c r="C52" s="41">
        <f ca="1">TODAY()</f>
        <v>45965</v>
      </c>
      <c r="D52" t="s">
        <v>72</v>
      </c>
      <c r="E52" s="34">
        <v>30</v>
      </c>
      <c r="F52" s="34">
        <v>3085</v>
      </c>
    </row>
    <row r="53" spans="1:6" ht="15" customHeight="1" x14ac:dyDescent="0.35">
      <c r="C53" s="41">
        <f ca="1">TODAY()-6</f>
        <v>45959</v>
      </c>
      <c r="D53" t="s">
        <v>73</v>
      </c>
      <c r="E53" s="34">
        <v>25</v>
      </c>
      <c r="F53" s="34">
        <v>1611</v>
      </c>
    </row>
    <row r="54" spans="1:6" ht="15" customHeight="1" x14ac:dyDescent="0.35">
      <c r="C54" s="41">
        <f ca="1">TODAY()-5</f>
        <v>45960</v>
      </c>
      <c r="D54" t="s">
        <v>74</v>
      </c>
      <c r="E54" s="34">
        <v>45</v>
      </c>
      <c r="F54" s="34">
        <v>5050</v>
      </c>
    </row>
    <row r="55" spans="1:6" ht="15" customHeight="1" x14ac:dyDescent="0.35">
      <c r="C55" s="41">
        <f ca="1">TODAY()-4</f>
        <v>45961</v>
      </c>
      <c r="D55" t="s">
        <v>75</v>
      </c>
      <c r="E55" s="34">
        <v>69</v>
      </c>
      <c r="F55" s="34">
        <v>528</v>
      </c>
    </row>
    <row r="60" spans="1:6" ht="15" customHeight="1" x14ac:dyDescent="0.35">
      <c r="A60" s="16" t="s">
        <v>113</v>
      </c>
    </row>
    <row r="61" spans="1:6" ht="15" customHeight="1" x14ac:dyDescent="0.35">
      <c r="A61" s="16" t="s">
        <v>190</v>
      </c>
    </row>
    <row r="62" spans="1:6" ht="15" customHeight="1" x14ac:dyDescent="0.35">
      <c r="A62" s="16" t="s">
        <v>191</v>
      </c>
    </row>
    <row r="63" spans="1:6" ht="15" customHeight="1" x14ac:dyDescent="0.35">
      <c r="A63" s="16" t="s">
        <v>112</v>
      </c>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B1" zoomScaleNormal="100" zoomScalePageLayoutView="125" workbookViewId="0">
      <selection activeCell="J4" sqref="J4"/>
    </sheetView>
  </sheetViews>
  <sheetFormatPr defaultColWidth="8.90625" defaultRowHeight="15" customHeight="1" x14ac:dyDescent="0.35"/>
  <cols>
    <col min="1" max="1" width="12.6328125" style="16" customWidth="1"/>
    <col min="2" max="2" width="82.90625" customWidth="1"/>
    <col min="3" max="3" width="13.90625" customWidth="1"/>
    <col min="4" max="4" width="11" customWidth="1"/>
    <col min="5" max="8" width="9.36328125" customWidth="1"/>
    <col min="11" max="11" width="10.26953125" customWidth="1"/>
  </cols>
  <sheetData>
    <row r="1" spans="1:8" ht="60" customHeight="1" x14ac:dyDescent="0.95">
      <c r="A1" s="16" t="s">
        <v>131</v>
      </c>
      <c r="B1" s="1"/>
    </row>
    <row r="2" spans="1:8" ht="15" customHeight="1" x14ac:dyDescent="0.35">
      <c r="A2" s="16" t="s">
        <v>192</v>
      </c>
    </row>
    <row r="3" spans="1:8" ht="15" customHeight="1" x14ac:dyDescent="0.45">
      <c r="A3" s="16" t="s">
        <v>234</v>
      </c>
      <c r="B3" s="2"/>
    </row>
    <row r="4" spans="1:8" ht="15" customHeight="1" x14ac:dyDescent="0.35">
      <c r="A4" s="16" t="s">
        <v>308</v>
      </c>
    </row>
    <row r="5" spans="1:8" s="3" customFormat="1" ht="15" customHeight="1" x14ac:dyDescent="0.35">
      <c r="A5" s="16" t="s">
        <v>193</v>
      </c>
      <c r="C5" t="s">
        <v>46</v>
      </c>
      <c r="D5" t="s">
        <v>26</v>
      </c>
      <c r="E5" t="s">
        <v>47</v>
      </c>
      <c r="F5" t="s">
        <v>48</v>
      </c>
      <c r="G5" t="s">
        <v>49</v>
      </c>
      <c r="H5"/>
    </row>
    <row r="6" spans="1:8" s="3" customFormat="1" ht="15" customHeight="1" x14ac:dyDescent="0.45">
      <c r="A6" s="16" t="s">
        <v>309</v>
      </c>
      <c r="B6" s="4"/>
      <c r="C6" t="s">
        <v>28</v>
      </c>
      <c r="D6" t="s">
        <v>50</v>
      </c>
      <c r="E6">
        <v>30000</v>
      </c>
      <c r="F6">
        <v>80000</v>
      </c>
      <c r="G6">
        <v>30000</v>
      </c>
      <c r="H6"/>
    </row>
    <row r="7" spans="1:8" s="3" customFormat="1" ht="15" customHeight="1" x14ac:dyDescent="0.35">
      <c r="A7" s="16" t="s">
        <v>335</v>
      </c>
      <c r="C7" t="s">
        <v>28</v>
      </c>
      <c r="D7" t="s">
        <v>0</v>
      </c>
      <c r="E7">
        <v>10000</v>
      </c>
      <c r="F7">
        <v>30000</v>
      </c>
      <c r="G7">
        <v>40000</v>
      </c>
      <c r="H7"/>
    </row>
    <row r="8" spans="1:8" s="3" customFormat="1" ht="15" customHeight="1" x14ac:dyDescent="0.35">
      <c r="A8" s="16" t="s">
        <v>235</v>
      </c>
      <c r="C8" t="s">
        <v>45</v>
      </c>
      <c r="D8" t="s">
        <v>51</v>
      </c>
      <c r="E8">
        <v>30000</v>
      </c>
      <c r="F8">
        <v>15000</v>
      </c>
      <c r="G8">
        <v>20000</v>
      </c>
      <c r="H8"/>
    </row>
    <row r="9" spans="1:8" s="3" customFormat="1" ht="15" customHeight="1" x14ac:dyDescent="0.35">
      <c r="A9" s="48" t="s">
        <v>336</v>
      </c>
      <c r="C9" t="s">
        <v>45</v>
      </c>
      <c r="D9" t="s">
        <v>52</v>
      </c>
      <c r="E9">
        <v>25000</v>
      </c>
      <c r="F9">
        <v>80000</v>
      </c>
      <c r="G9">
        <v>120000</v>
      </c>
      <c r="H9"/>
    </row>
    <row r="10" spans="1:8" s="3" customFormat="1" ht="15" customHeight="1" x14ac:dyDescent="0.35">
      <c r="A10" s="16" t="s">
        <v>118</v>
      </c>
      <c r="C10" t="s">
        <v>53</v>
      </c>
      <c r="D10" t="s">
        <v>65</v>
      </c>
      <c r="E10">
        <v>80000</v>
      </c>
      <c r="F10">
        <v>40000</v>
      </c>
      <c r="G10">
        <v>20000</v>
      </c>
      <c r="H10"/>
    </row>
    <row r="11" spans="1:8" s="3" customFormat="1" ht="15" customHeight="1" x14ac:dyDescent="0.35">
      <c r="A11" s="16"/>
      <c r="C11" t="s">
        <v>53</v>
      </c>
      <c r="D11" t="s">
        <v>54</v>
      </c>
      <c r="E11">
        <v>90000</v>
      </c>
      <c r="F11">
        <v>35000</v>
      </c>
      <c r="G11">
        <v>25000</v>
      </c>
      <c r="H11"/>
    </row>
    <row r="12" spans="1:8" s="3" customFormat="1" ht="15" customHeight="1" x14ac:dyDescent="0.35">
      <c r="A12" s="16"/>
      <c r="C12" t="s">
        <v>6</v>
      </c>
      <c r="D12" t="s">
        <v>7</v>
      </c>
      <c r="E12">
        <v>90000</v>
      </c>
      <c r="F12">
        <v>110000</v>
      </c>
      <c r="G12">
        <v>200000</v>
      </c>
      <c r="H12"/>
    </row>
    <row r="13" spans="1:8" s="3" customFormat="1" ht="15" customHeight="1" x14ac:dyDescent="0.35">
      <c r="A13" s="16"/>
      <c r="C13" t="s">
        <v>6</v>
      </c>
      <c r="D13" t="s">
        <v>8</v>
      </c>
      <c r="E13">
        <v>75000</v>
      </c>
      <c r="F13">
        <v>82000</v>
      </c>
      <c r="G13">
        <v>150000</v>
      </c>
      <c r="H13"/>
    </row>
    <row r="14" spans="1:8" s="3" customFormat="1" ht="15" customHeight="1" x14ac:dyDescent="0.35">
      <c r="A14" s="16"/>
      <c r="C14"/>
      <c r="D14"/>
      <c r="E14"/>
      <c r="F14"/>
      <c r="G14"/>
      <c r="H14"/>
    </row>
    <row r="15" spans="1:8" s="3" customFormat="1" ht="15" customHeight="1" x14ac:dyDescent="0.35">
      <c r="A15" s="16"/>
      <c r="C15"/>
      <c r="D15"/>
      <c r="E15"/>
      <c r="F15"/>
      <c r="G15"/>
      <c r="H15"/>
    </row>
    <row r="16" spans="1:8" s="3" customFormat="1" ht="15" customHeight="1" x14ac:dyDescent="0.35">
      <c r="A16" s="16"/>
      <c r="C16"/>
      <c r="D16"/>
      <c r="E16"/>
      <c r="F16"/>
      <c r="G16"/>
      <c r="H16"/>
    </row>
    <row r="17" spans="1:8" s="3" customFormat="1" ht="15" customHeight="1" x14ac:dyDescent="0.35">
      <c r="A17" s="16"/>
      <c r="C17"/>
      <c r="D17"/>
      <c r="E17"/>
      <c r="F17"/>
      <c r="G17"/>
      <c r="H17"/>
    </row>
    <row r="18" spans="1:8" s="3" customFormat="1" ht="15" customHeight="1" x14ac:dyDescent="0.35">
      <c r="A18" s="16"/>
      <c r="C18"/>
      <c r="D18"/>
      <c r="E18"/>
      <c r="F18"/>
      <c r="G18"/>
      <c r="H18"/>
    </row>
    <row r="19" spans="1:8" s="3" customFormat="1" ht="15" customHeight="1" x14ac:dyDescent="0.35">
      <c r="A19" s="16"/>
      <c r="C19"/>
      <c r="D19"/>
      <c r="E19"/>
      <c r="F19"/>
      <c r="G19"/>
      <c r="H19"/>
    </row>
    <row r="20" spans="1:8" s="3" customFormat="1" ht="15" customHeight="1" x14ac:dyDescent="0.35">
      <c r="A20" s="16"/>
      <c r="C20"/>
      <c r="D20"/>
      <c r="E20"/>
      <c r="F20"/>
      <c r="G20"/>
      <c r="H20"/>
    </row>
    <row r="21" spans="1:8" s="3" customFormat="1" ht="15" customHeight="1" x14ac:dyDescent="0.35">
      <c r="A21" s="16"/>
      <c r="C21"/>
      <c r="D21"/>
      <c r="E21"/>
      <c r="F21"/>
      <c r="G21"/>
      <c r="H21"/>
    </row>
    <row r="22" spans="1:8" s="3" customFormat="1" ht="15" customHeight="1" x14ac:dyDescent="0.35">
      <c r="A22" s="16"/>
    </row>
    <row r="23" spans="1:8" s="3" customFormat="1" ht="15" customHeight="1" x14ac:dyDescent="0.35">
      <c r="A23" s="16"/>
    </row>
    <row r="24" spans="1:8" s="3" customFormat="1" ht="15" customHeight="1" x14ac:dyDescent="0.35">
      <c r="A24" s="16"/>
    </row>
    <row r="27" spans="1:8" ht="15" customHeight="1" x14ac:dyDescent="0.35">
      <c r="A27" s="16" t="s">
        <v>194</v>
      </c>
    </row>
    <row r="28" spans="1:8" ht="15" customHeight="1" x14ac:dyDescent="0.35">
      <c r="A28" s="16" t="s">
        <v>195</v>
      </c>
    </row>
    <row r="29" spans="1:8" ht="15" customHeight="1" x14ac:dyDescent="0.35">
      <c r="A29" s="16" t="s">
        <v>310</v>
      </c>
    </row>
    <row r="30" spans="1:8" ht="15" customHeight="1" x14ac:dyDescent="0.35">
      <c r="A30" s="16" t="s">
        <v>236</v>
      </c>
    </row>
    <row r="31" spans="1:8" ht="15" customHeight="1" x14ac:dyDescent="0.35">
      <c r="A31" s="16" t="s">
        <v>311</v>
      </c>
    </row>
    <row r="32" spans="1:8" ht="15" customHeight="1" x14ac:dyDescent="0.35">
      <c r="A32" s="16" t="s">
        <v>237</v>
      </c>
    </row>
    <row r="33" spans="1:8" ht="15" customHeight="1" x14ac:dyDescent="0.35">
      <c r="A33" s="16" t="s">
        <v>196</v>
      </c>
      <c r="C33" s="27" t="s">
        <v>46</v>
      </c>
      <c r="D33" s="27" t="s">
        <v>26</v>
      </c>
      <c r="E33" s="27" t="s">
        <v>47</v>
      </c>
      <c r="F33" s="27" t="s">
        <v>48</v>
      </c>
      <c r="G33" s="27" t="s">
        <v>49</v>
      </c>
      <c r="H33" s="27" t="s">
        <v>55</v>
      </c>
    </row>
    <row r="34" spans="1:8" ht="15" customHeight="1" x14ac:dyDescent="0.35">
      <c r="C34" s="5" t="s">
        <v>28</v>
      </c>
      <c r="D34" s="5" t="s">
        <v>50</v>
      </c>
      <c r="E34" s="28">
        <v>30000</v>
      </c>
      <c r="F34" s="28">
        <v>80000</v>
      </c>
      <c r="G34" s="28">
        <v>30000</v>
      </c>
      <c r="H34" s="36"/>
    </row>
    <row r="35" spans="1:8" ht="15" customHeight="1" x14ac:dyDescent="0.35">
      <c r="C35" t="s">
        <v>28</v>
      </c>
      <c r="D35" t="s">
        <v>0</v>
      </c>
      <c r="E35" s="36">
        <v>10000</v>
      </c>
      <c r="F35" s="36">
        <v>30000</v>
      </c>
      <c r="G35" s="36">
        <v>40000</v>
      </c>
      <c r="H35" s="36"/>
    </row>
    <row r="36" spans="1:8" ht="15" customHeight="1" x14ac:dyDescent="0.35">
      <c r="C36" s="5" t="s">
        <v>45</v>
      </c>
      <c r="D36" s="5" t="s">
        <v>51</v>
      </c>
      <c r="E36" s="28">
        <v>30000</v>
      </c>
      <c r="F36" s="28">
        <v>15000</v>
      </c>
      <c r="G36" s="28">
        <v>20000</v>
      </c>
      <c r="H36" s="36"/>
    </row>
    <row r="37" spans="1:8" ht="15" customHeight="1" x14ac:dyDescent="0.35">
      <c r="C37" t="s">
        <v>45</v>
      </c>
      <c r="D37" t="s">
        <v>52</v>
      </c>
      <c r="E37" s="36">
        <v>25000</v>
      </c>
      <c r="F37" s="36">
        <v>80000</v>
      </c>
      <c r="G37" s="36">
        <v>120000</v>
      </c>
      <c r="H37" s="36"/>
    </row>
    <row r="38" spans="1:8" ht="15" customHeight="1" x14ac:dyDescent="0.35">
      <c r="C38" s="5" t="s">
        <v>53</v>
      </c>
      <c r="D38" s="5" t="s">
        <v>64</v>
      </c>
      <c r="E38" s="28">
        <v>80000</v>
      </c>
      <c r="F38" s="28">
        <v>40000</v>
      </c>
      <c r="G38" s="28">
        <v>20000</v>
      </c>
      <c r="H38" s="36"/>
    </row>
    <row r="39" spans="1:8" ht="15" customHeight="1" x14ac:dyDescent="0.35">
      <c r="C39" t="s">
        <v>53</v>
      </c>
      <c r="D39" t="s">
        <v>54</v>
      </c>
      <c r="E39" s="36">
        <v>90000</v>
      </c>
      <c r="F39" s="36">
        <v>35000</v>
      </c>
      <c r="G39" s="36">
        <v>25000</v>
      </c>
      <c r="H39" s="36"/>
    </row>
    <row r="40" spans="1:8" ht="15" customHeight="1" x14ac:dyDescent="0.35">
      <c r="C40" s="5" t="s">
        <v>6</v>
      </c>
      <c r="D40" s="5" t="s">
        <v>7</v>
      </c>
      <c r="E40" s="28">
        <v>90000</v>
      </c>
      <c r="F40" s="28">
        <v>110000</v>
      </c>
      <c r="G40" s="28">
        <v>200000</v>
      </c>
      <c r="H40" s="36"/>
    </row>
    <row r="41" spans="1:8" ht="15" customHeight="1" x14ac:dyDescent="0.35">
      <c r="C41" t="s">
        <v>6</v>
      </c>
      <c r="D41" t="s">
        <v>8</v>
      </c>
      <c r="E41" s="36">
        <v>75000</v>
      </c>
      <c r="F41" s="36">
        <v>82000</v>
      </c>
      <c r="G41" s="36">
        <v>150000</v>
      </c>
      <c r="H41" s="36"/>
    </row>
    <row r="47" spans="1:8" ht="15" customHeight="1" x14ac:dyDescent="0.35">
      <c r="A47" s="16" t="s">
        <v>197</v>
      </c>
    </row>
    <row r="48" spans="1:8" ht="15" customHeight="1" x14ac:dyDescent="0.35">
      <c r="A48" s="16" t="s">
        <v>198</v>
      </c>
    </row>
    <row r="49" spans="1:5" ht="15" customHeight="1" x14ac:dyDescent="0.35">
      <c r="A49" s="16" t="s">
        <v>312</v>
      </c>
    </row>
    <row r="50" spans="1:5" ht="15" customHeight="1" x14ac:dyDescent="0.35">
      <c r="A50" s="16" t="s">
        <v>238</v>
      </c>
    </row>
    <row r="51" spans="1:5" ht="15" customHeight="1" x14ac:dyDescent="0.35">
      <c r="A51" s="16" t="s">
        <v>313</v>
      </c>
    </row>
    <row r="52" spans="1:5" ht="15" customHeight="1" x14ac:dyDescent="0.35">
      <c r="A52" s="16" t="s">
        <v>314</v>
      </c>
    </row>
    <row r="53" spans="1:5" ht="15" customHeight="1" x14ac:dyDescent="0.35">
      <c r="A53" s="16" t="s">
        <v>315</v>
      </c>
      <c r="C53" s="27" t="s">
        <v>46</v>
      </c>
      <c r="D53" s="27" t="s">
        <v>26</v>
      </c>
      <c r="E53" s="27" t="s">
        <v>56</v>
      </c>
    </row>
    <row r="54" spans="1:5" ht="15" customHeight="1" x14ac:dyDescent="0.35">
      <c r="A54" s="16" t="s">
        <v>239</v>
      </c>
      <c r="C54" s="5" t="s">
        <v>28</v>
      </c>
      <c r="D54" s="5" t="s">
        <v>50</v>
      </c>
      <c r="E54" s="36">
        <v>1000</v>
      </c>
    </row>
    <row r="55" spans="1:5" ht="15" customHeight="1" x14ac:dyDescent="0.35">
      <c r="A55" s="16" t="s">
        <v>316</v>
      </c>
      <c r="C55" t="s">
        <v>28</v>
      </c>
      <c r="D55" t="s">
        <v>0</v>
      </c>
      <c r="E55" s="36">
        <v>2000</v>
      </c>
    </row>
    <row r="56" spans="1:5" ht="15" customHeight="1" x14ac:dyDescent="0.35">
      <c r="A56" s="16" t="s">
        <v>240</v>
      </c>
      <c r="C56" s="5" t="s">
        <v>45</v>
      </c>
      <c r="D56" s="5" t="s">
        <v>51</v>
      </c>
      <c r="E56" s="36">
        <v>3000</v>
      </c>
    </row>
    <row r="57" spans="1:5" ht="15" customHeight="1" x14ac:dyDescent="0.35">
      <c r="A57" s="16" t="s">
        <v>182</v>
      </c>
      <c r="C57" t="s">
        <v>45</v>
      </c>
      <c r="D57" t="s">
        <v>52</v>
      </c>
      <c r="E57" s="36">
        <v>1000</v>
      </c>
    </row>
    <row r="58" spans="1:5" ht="15" customHeight="1" x14ac:dyDescent="0.35">
      <c r="C58" s="5" t="s">
        <v>53</v>
      </c>
      <c r="D58" s="5" t="s">
        <v>64</v>
      </c>
      <c r="E58" s="36">
        <v>2000</v>
      </c>
    </row>
    <row r="59" spans="1:5" ht="15" customHeight="1" x14ac:dyDescent="0.35">
      <c r="C59" t="s">
        <v>53</v>
      </c>
      <c r="D59" t="s">
        <v>54</v>
      </c>
      <c r="E59" s="36">
        <v>3000</v>
      </c>
    </row>
    <row r="60" spans="1:5" ht="15" customHeight="1" x14ac:dyDescent="0.35">
      <c r="C60" s="5" t="s">
        <v>6</v>
      </c>
      <c r="D60" s="5" t="s">
        <v>7</v>
      </c>
      <c r="E60" s="36">
        <v>4000</v>
      </c>
    </row>
    <row r="61" spans="1:5" ht="15" customHeight="1" x14ac:dyDescent="0.35">
      <c r="C61" t="s">
        <v>6</v>
      </c>
      <c r="D61" t="s">
        <v>8</v>
      </c>
      <c r="E61" s="36">
        <v>8000</v>
      </c>
    </row>
    <row r="72" spans="1:2" ht="15" customHeight="1" x14ac:dyDescent="0.35">
      <c r="A72" s="16" t="s">
        <v>113</v>
      </c>
    </row>
    <row r="73" spans="1:2" ht="15" customHeight="1" x14ac:dyDescent="0.35">
      <c r="A73" s="16" t="s">
        <v>199</v>
      </c>
    </row>
    <row r="74" spans="1:2" ht="15" customHeight="1" x14ac:dyDescent="0.35">
      <c r="A74" s="16" t="s">
        <v>200</v>
      </c>
    </row>
    <row r="75" spans="1:2" ht="15" customHeight="1" x14ac:dyDescent="0.35">
      <c r="A75" s="16" t="s">
        <v>201</v>
      </c>
    </row>
    <row r="76" spans="1:2" ht="15" customHeight="1" x14ac:dyDescent="0.35">
      <c r="A76" s="16" t="s">
        <v>112</v>
      </c>
      <c r="B76" t="s">
        <v>170</v>
      </c>
    </row>
  </sheetData>
  <phoneticPr fontId="15" type="noConversion"/>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3">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election activeCell="C3" sqref="C3:D15"/>
    </sheetView>
  </sheetViews>
  <sheetFormatPr defaultColWidth="8.90625" defaultRowHeight="15" customHeight="1" x14ac:dyDescent="0.35"/>
  <cols>
    <col min="1" max="1" width="12.6328125" style="16" customWidth="1"/>
    <col min="2" max="2" width="82.90625" customWidth="1"/>
    <col min="3" max="4" width="11.6328125" customWidth="1"/>
    <col min="5" max="6" width="13.90625" customWidth="1"/>
  </cols>
  <sheetData>
    <row r="1" spans="1:6" ht="60" customHeight="1" x14ac:dyDescent="0.35">
      <c r="A1" s="16" t="s">
        <v>132</v>
      </c>
    </row>
    <row r="2" spans="1:6" ht="15" customHeight="1" x14ac:dyDescent="0.35">
      <c r="A2" s="16" t="s">
        <v>202</v>
      </c>
    </row>
    <row r="3" spans="1:6" ht="15" customHeight="1" x14ac:dyDescent="0.35">
      <c r="A3" s="16" t="s">
        <v>317</v>
      </c>
      <c r="C3" s="27" t="s">
        <v>57</v>
      </c>
      <c r="D3" s="27" t="s">
        <v>46</v>
      </c>
    </row>
    <row r="4" spans="1:6" ht="15" customHeight="1" x14ac:dyDescent="0.35">
      <c r="A4" s="16" t="s">
        <v>203</v>
      </c>
      <c r="C4" s="6" t="s">
        <v>2</v>
      </c>
      <c r="D4" s="7"/>
    </row>
    <row r="5" spans="1:6" s="3" customFormat="1" ht="15" customHeight="1" x14ac:dyDescent="0.35">
      <c r="A5" s="16" t="s">
        <v>318</v>
      </c>
      <c r="B5"/>
      <c r="C5" s="6" t="s">
        <v>7</v>
      </c>
      <c r="D5" s="7"/>
      <c r="F5"/>
    </row>
    <row r="6" spans="1:6" s="3" customFormat="1" ht="15" customHeight="1" x14ac:dyDescent="0.35">
      <c r="A6" s="16" t="s">
        <v>377</v>
      </c>
      <c r="B6"/>
      <c r="C6" s="6" t="s">
        <v>4</v>
      </c>
      <c r="D6" s="7"/>
      <c r="F6"/>
    </row>
    <row r="7" spans="1:6" s="3" customFormat="1" ht="15" customHeight="1" x14ac:dyDescent="0.35">
      <c r="A7" s="16" t="s">
        <v>319</v>
      </c>
      <c r="B7"/>
      <c r="C7" s="6" t="s">
        <v>5</v>
      </c>
      <c r="D7" s="7"/>
      <c r="F7"/>
    </row>
    <row r="8" spans="1:6" s="3" customFormat="1" ht="15" customHeight="1" x14ac:dyDescent="0.35">
      <c r="A8" s="16" t="s">
        <v>337</v>
      </c>
      <c r="B8"/>
      <c r="C8" s="6" t="s">
        <v>58</v>
      </c>
      <c r="D8" s="7"/>
      <c r="F8"/>
    </row>
    <row r="9" spans="1:6" s="3" customFormat="1" ht="15" customHeight="1" x14ac:dyDescent="0.35">
      <c r="A9" s="16" t="s">
        <v>241</v>
      </c>
      <c r="B9"/>
      <c r="C9" s="6" t="s">
        <v>59</v>
      </c>
      <c r="D9" s="7"/>
      <c r="F9"/>
    </row>
    <row r="10" spans="1:6" s="3" customFormat="1" ht="15" customHeight="1" x14ac:dyDescent="0.35">
      <c r="A10" s="16" t="s">
        <v>118</v>
      </c>
      <c r="B10"/>
      <c r="C10" s="6" t="s">
        <v>60</v>
      </c>
      <c r="D10" s="7"/>
      <c r="F10"/>
    </row>
    <row r="11" spans="1:6" s="3" customFormat="1" ht="15" customHeight="1" x14ac:dyDescent="0.35">
      <c r="A11" s="16"/>
      <c r="B11"/>
      <c r="C11" s="6" t="s">
        <v>12</v>
      </c>
      <c r="D11" s="7"/>
      <c r="F11"/>
    </row>
    <row r="12" spans="1:6" s="3" customFormat="1" ht="15" customHeight="1" x14ac:dyDescent="0.35">
      <c r="A12" s="16"/>
      <c r="B12"/>
      <c r="C12" s="6" t="s">
        <v>8</v>
      </c>
      <c r="D12" s="7"/>
      <c r="F12"/>
    </row>
    <row r="13" spans="1:6" s="3" customFormat="1" ht="15" customHeight="1" x14ac:dyDescent="0.35">
      <c r="A13" s="16"/>
      <c r="B13"/>
      <c r="C13" s="6" t="s">
        <v>14</v>
      </c>
      <c r="D13" s="7"/>
      <c r="F13"/>
    </row>
    <row r="14" spans="1:6" s="3" customFormat="1" ht="15" customHeight="1" x14ac:dyDescent="0.35">
      <c r="A14" s="16"/>
      <c r="B14"/>
      <c r="C14" s="6" t="s">
        <v>15</v>
      </c>
      <c r="D14" s="7"/>
      <c r="F14"/>
    </row>
    <row r="15" spans="1:6" s="3" customFormat="1" ht="15" customHeight="1" x14ac:dyDescent="0.35">
      <c r="A15" s="16"/>
      <c r="B15"/>
      <c r="C15" s="6" t="s">
        <v>16</v>
      </c>
      <c r="D15" s="7"/>
      <c r="F15"/>
    </row>
    <row r="16" spans="1:6" s="3" customFormat="1" ht="15" customHeight="1" x14ac:dyDescent="0.35">
      <c r="A16" s="16"/>
      <c r="B16"/>
    </row>
    <row r="17" spans="1:6" s="3" customFormat="1" ht="15" customHeight="1" x14ac:dyDescent="0.35">
      <c r="A17" s="16"/>
      <c r="B17"/>
    </row>
    <row r="18" spans="1:6" s="3" customFormat="1" ht="15" customHeight="1" x14ac:dyDescent="0.35">
      <c r="A18" s="16"/>
      <c r="B18"/>
      <c r="C18"/>
      <c r="D18"/>
      <c r="E18"/>
      <c r="F18"/>
    </row>
    <row r="19" spans="1:6" s="3" customFormat="1" ht="15" customHeight="1" x14ac:dyDescent="0.35">
      <c r="A19" s="16"/>
      <c r="B19"/>
      <c r="C19"/>
      <c r="D19"/>
      <c r="E19"/>
      <c r="F19"/>
    </row>
    <row r="20" spans="1:6" s="3" customFormat="1" ht="15" customHeight="1" x14ac:dyDescent="0.35">
      <c r="A20" s="16"/>
      <c r="B20"/>
      <c r="C20"/>
      <c r="D20"/>
      <c r="E20"/>
      <c r="F20"/>
    </row>
    <row r="21" spans="1:6" s="3" customFormat="1" ht="15" customHeight="1" x14ac:dyDescent="0.35">
      <c r="A21" s="16"/>
      <c r="B21"/>
      <c r="C21"/>
      <c r="D21"/>
      <c r="E21"/>
      <c r="F21"/>
    </row>
    <row r="22" spans="1:6" s="3" customFormat="1" ht="15" customHeight="1" x14ac:dyDescent="0.35">
      <c r="A22" s="16"/>
      <c r="B22"/>
    </row>
    <row r="23" spans="1:6" s="3" customFormat="1" ht="15" customHeight="1" x14ac:dyDescent="0.35">
      <c r="A23" s="16"/>
      <c r="B23"/>
    </row>
    <row r="24" spans="1:6" s="3" customFormat="1" ht="15" customHeight="1" x14ac:dyDescent="0.35">
      <c r="A24" s="16"/>
      <c r="B24"/>
    </row>
    <row r="27" spans="1:6" ht="15" customHeight="1" x14ac:dyDescent="0.35">
      <c r="A27" s="16" t="s">
        <v>204</v>
      </c>
    </row>
    <row r="28" spans="1:6" ht="15" customHeight="1" x14ac:dyDescent="0.35">
      <c r="A28" s="16" t="s">
        <v>205</v>
      </c>
    </row>
    <row r="29" spans="1:6" ht="15" customHeight="1" x14ac:dyDescent="0.35">
      <c r="A29" s="16" t="s">
        <v>320</v>
      </c>
    </row>
    <row r="30" spans="1:6" ht="15" customHeight="1" x14ac:dyDescent="0.35">
      <c r="A30" s="16" t="s">
        <v>242</v>
      </c>
    </row>
    <row r="31" spans="1:6" ht="15" customHeight="1" x14ac:dyDescent="0.35">
      <c r="A31" s="16" t="s">
        <v>244</v>
      </c>
      <c r="C31" s="27" t="s">
        <v>57</v>
      </c>
      <c r="D31" s="27" t="s">
        <v>46</v>
      </c>
      <c r="F31" s="44" t="s">
        <v>46</v>
      </c>
    </row>
    <row r="32" spans="1:6" ht="15" customHeight="1" x14ac:dyDescent="0.35">
      <c r="A32" s="16" t="s">
        <v>243</v>
      </c>
      <c r="C32" s="6" t="s">
        <v>2</v>
      </c>
      <c r="D32" s="6"/>
      <c r="F32" s="8" t="s">
        <v>28</v>
      </c>
    </row>
    <row r="33" spans="1:6" ht="15" customHeight="1" x14ac:dyDescent="0.35">
      <c r="A33" s="16" t="s">
        <v>378</v>
      </c>
      <c r="C33" s="6" t="s">
        <v>7</v>
      </c>
      <c r="D33" s="6"/>
      <c r="F33" s="6" t="s">
        <v>6</v>
      </c>
    </row>
    <row r="34" spans="1:6" ht="15" customHeight="1" x14ac:dyDescent="0.35">
      <c r="A34" s="16" t="s">
        <v>321</v>
      </c>
      <c r="C34" s="6" t="s">
        <v>4</v>
      </c>
      <c r="D34" s="6"/>
      <c r="F34" s="8" t="s">
        <v>45</v>
      </c>
    </row>
    <row r="35" spans="1:6" ht="15" customHeight="1" x14ac:dyDescent="0.35">
      <c r="A35" s="16" t="s">
        <v>245</v>
      </c>
      <c r="C35" s="6" t="s">
        <v>5</v>
      </c>
      <c r="D35" s="6"/>
    </row>
    <row r="36" spans="1:6" ht="15" customHeight="1" x14ac:dyDescent="0.35">
      <c r="A36" s="16" t="s">
        <v>246</v>
      </c>
      <c r="C36" s="6" t="s">
        <v>58</v>
      </c>
      <c r="D36" s="6"/>
    </row>
    <row r="37" spans="1:6" ht="15" customHeight="1" x14ac:dyDescent="0.35">
      <c r="A37" s="16" t="s">
        <v>247</v>
      </c>
      <c r="C37" s="6" t="s">
        <v>59</v>
      </c>
      <c r="D37" s="6"/>
    </row>
    <row r="38" spans="1:6" ht="15" customHeight="1" x14ac:dyDescent="0.35">
      <c r="A38" s="16" t="s">
        <v>206</v>
      </c>
      <c r="C38" s="6" t="s">
        <v>60</v>
      </c>
      <c r="D38" s="6"/>
    </row>
    <row r="39" spans="1:6" ht="15" customHeight="1" x14ac:dyDescent="0.35">
      <c r="C39" s="6" t="s">
        <v>12</v>
      </c>
      <c r="D39" s="6"/>
    </row>
    <row r="40" spans="1:6" ht="15" customHeight="1" x14ac:dyDescent="0.35">
      <c r="C40" s="6" t="s">
        <v>8</v>
      </c>
      <c r="D40" s="6"/>
    </row>
    <row r="41" spans="1:6" ht="15" customHeight="1" x14ac:dyDescent="0.35">
      <c r="C41" s="6" t="s">
        <v>14</v>
      </c>
      <c r="D41" s="6"/>
    </row>
    <row r="42" spans="1:6" ht="15" customHeight="1" x14ac:dyDescent="0.35">
      <c r="C42" s="6" t="s">
        <v>15</v>
      </c>
      <c r="D42" s="6"/>
    </row>
    <row r="43" spans="1:6" ht="15" customHeight="1" x14ac:dyDescent="0.35">
      <c r="C43" s="6" t="s">
        <v>16</v>
      </c>
      <c r="D43" s="6"/>
    </row>
    <row r="60" spans="1:1" ht="15" customHeight="1" x14ac:dyDescent="0.35">
      <c r="A60" s="16" t="s">
        <v>113</v>
      </c>
    </row>
    <row r="61" spans="1:1" ht="15" customHeight="1" x14ac:dyDescent="0.35">
      <c r="A61" s="16" t="s">
        <v>207</v>
      </c>
    </row>
    <row r="62" spans="1:1" ht="15" customHeight="1" x14ac:dyDescent="0.35">
      <c r="A62" s="16" t="s">
        <v>208</v>
      </c>
    </row>
    <row r="63" spans="1:1" ht="15" customHeight="1" x14ac:dyDescent="0.35">
      <c r="A63" s="16" t="s">
        <v>112</v>
      </c>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election activeCell="E10" sqref="E10:E13"/>
    </sheetView>
  </sheetViews>
  <sheetFormatPr defaultColWidth="8.90625" defaultRowHeight="15" customHeight="1" x14ac:dyDescent="0.35"/>
  <cols>
    <col min="1" max="1" width="12.6328125" style="16" customWidth="1"/>
    <col min="2" max="2" width="82.90625" customWidth="1"/>
    <col min="3" max="3" width="13.90625" customWidth="1"/>
    <col min="4" max="4" width="11" customWidth="1"/>
    <col min="5" max="5" width="10.90625" customWidth="1"/>
    <col min="6" max="7" width="11.90625" customWidth="1"/>
  </cols>
  <sheetData>
    <row r="1" spans="1:7" ht="60" customHeight="1" x14ac:dyDescent="0.35">
      <c r="A1" s="16" t="s">
        <v>133</v>
      </c>
    </row>
    <row r="2" spans="1:7" ht="15" customHeight="1" x14ac:dyDescent="0.35">
      <c r="A2" s="16" t="s">
        <v>209</v>
      </c>
    </row>
    <row r="3" spans="1:7" ht="15" customHeight="1" x14ac:dyDescent="0.35">
      <c r="A3" s="16" t="s">
        <v>322</v>
      </c>
    </row>
    <row r="4" spans="1:7" ht="15" customHeight="1" x14ac:dyDescent="0.35">
      <c r="A4" s="16" t="s">
        <v>252</v>
      </c>
    </row>
    <row r="5" spans="1:7" s="3" customFormat="1" ht="15" customHeight="1" x14ac:dyDescent="0.35">
      <c r="A5" s="16" t="s">
        <v>354</v>
      </c>
      <c r="B5"/>
      <c r="C5" t="s">
        <v>46</v>
      </c>
      <c r="D5" t="s">
        <v>26</v>
      </c>
      <c r="E5" t="s">
        <v>47</v>
      </c>
      <c r="F5" t="s">
        <v>48</v>
      </c>
      <c r="G5" t="s">
        <v>49</v>
      </c>
    </row>
    <row r="6" spans="1:7" s="3" customFormat="1" ht="15" customHeight="1" x14ac:dyDescent="0.35">
      <c r="A6" s="16" t="s">
        <v>248</v>
      </c>
      <c r="B6"/>
      <c r="C6" t="s">
        <v>28</v>
      </c>
      <c r="D6" t="s">
        <v>50</v>
      </c>
      <c r="E6" s="36">
        <v>30000</v>
      </c>
      <c r="F6" s="36">
        <v>80000</v>
      </c>
      <c r="G6" s="36">
        <v>30000</v>
      </c>
    </row>
    <row r="7" spans="1:7" s="3" customFormat="1" ht="15" customHeight="1" x14ac:dyDescent="0.35">
      <c r="A7" s="16" t="s">
        <v>249</v>
      </c>
      <c r="B7"/>
      <c r="C7" t="s">
        <v>28</v>
      </c>
      <c r="D7" t="s">
        <v>0</v>
      </c>
      <c r="E7" s="36">
        <v>10000</v>
      </c>
      <c r="F7" s="36">
        <v>30000</v>
      </c>
      <c r="G7" s="36">
        <v>40000</v>
      </c>
    </row>
    <row r="8" spans="1:7" s="3" customFormat="1" ht="15" customHeight="1" x14ac:dyDescent="0.35">
      <c r="A8" s="16" t="s">
        <v>355</v>
      </c>
      <c r="B8"/>
      <c r="C8" t="s">
        <v>45</v>
      </c>
      <c r="D8" t="s">
        <v>51</v>
      </c>
      <c r="E8" s="36">
        <v>30000</v>
      </c>
      <c r="F8" s="36">
        <v>15000</v>
      </c>
      <c r="G8" s="36">
        <v>20000</v>
      </c>
    </row>
    <row r="9" spans="1:7" s="3" customFormat="1" ht="15" customHeight="1" x14ac:dyDescent="0.35">
      <c r="A9" s="16" t="s">
        <v>250</v>
      </c>
      <c r="B9"/>
      <c r="C9" t="s">
        <v>45</v>
      </c>
      <c r="D9" t="s">
        <v>52</v>
      </c>
      <c r="E9" s="36">
        <v>25000</v>
      </c>
      <c r="F9" s="36">
        <v>80000</v>
      </c>
      <c r="G9" s="36">
        <v>120000</v>
      </c>
    </row>
    <row r="10" spans="1:7" s="3" customFormat="1" ht="15" customHeight="1" x14ac:dyDescent="0.35">
      <c r="A10" s="16" t="s">
        <v>118</v>
      </c>
      <c r="B10"/>
      <c r="C10" t="s">
        <v>53</v>
      </c>
      <c r="D10" t="s">
        <v>65</v>
      </c>
      <c r="E10" s="36">
        <v>80000</v>
      </c>
      <c r="F10" s="36">
        <v>40000</v>
      </c>
      <c r="G10" s="36">
        <v>20000</v>
      </c>
    </row>
    <row r="11" spans="1:7" s="3" customFormat="1" ht="15" customHeight="1" x14ac:dyDescent="0.35">
      <c r="A11" s="16"/>
      <c r="B11"/>
      <c r="C11" t="s">
        <v>53</v>
      </c>
      <c r="D11" t="s">
        <v>54</v>
      </c>
      <c r="E11" s="36">
        <v>90000</v>
      </c>
      <c r="F11" s="36">
        <v>35000</v>
      </c>
      <c r="G11" s="36">
        <v>25000</v>
      </c>
    </row>
    <row r="12" spans="1:7" s="3" customFormat="1" ht="15" customHeight="1" x14ac:dyDescent="0.35">
      <c r="A12" s="16"/>
      <c r="B12"/>
      <c r="C12" t="s">
        <v>6</v>
      </c>
      <c r="D12" t="s">
        <v>7</v>
      </c>
      <c r="E12" s="36">
        <v>90000</v>
      </c>
      <c r="F12" s="36">
        <v>110000</v>
      </c>
      <c r="G12" s="36">
        <v>200000</v>
      </c>
    </row>
    <row r="13" spans="1:7" s="3" customFormat="1" ht="15" customHeight="1" x14ac:dyDescent="0.35">
      <c r="A13" s="16"/>
      <c r="B13"/>
      <c r="C13" t="s">
        <v>6</v>
      </c>
      <c r="D13" t="s">
        <v>8</v>
      </c>
      <c r="E13" s="36">
        <v>75000</v>
      </c>
      <c r="F13" s="36">
        <v>82000</v>
      </c>
      <c r="G13" s="36">
        <v>150000</v>
      </c>
    </row>
    <row r="14" spans="1:7" s="3" customFormat="1" ht="15" customHeight="1" x14ac:dyDescent="0.35">
      <c r="A14" s="16"/>
      <c r="B14"/>
      <c r="C14"/>
      <c r="D14"/>
      <c r="E14"/>
      <c r="F14"/>
      <c r="G14"/>
    </row>
    <row r="15" spans="1:7" s="3" customFormat="1" ht="15" customHeight="1" x14ac:dyDescent="0.35">
      <c r="A15" s="16"/>
      <c r="B15"/>
      <c r="C15"/>
      <c r="D15"/>
      <c r="E15"/>
      <c r="F15"/>
      <c r="G15"/>
    </row>
    <row r="16" spans="1:7" s="3" customFormat="1" ht="15" customHeight="1" x14ac:dyDescent="0.35">
      <c r="A16" s="16"/>
      <c r="B16"/>
      <c r="C16"/>
      <c r="D16"/>
      <c r="E16"/>
      <c r="F16"/>
      <c r="G16"/>
    </row>
    <row r="17" spans="1:7" s="3" customFormat="1" ht="15" customHeight="1" x14ac:dyDescent="0.35">
      <c r="A17" s="16"/>
      <c r="B17"/>
      <c r="C17"/>
      <c r="D17"/>
      <c r="E17"/>
      <c r="F17"/>
      <c r="G17"/>
    </row>
    <row r="18" spans="1:7" s="3" customFormat="1" ht="15" customHeight="1" x14ac:dyDescent="0.35">
      <c r="A18" s="16"/>
      <c r="B18"/>
      <c r="C18"/>
      <c r="D18"/>
      <c r="E18"/>
      <c r="F18"/>
      <c r="G18"/>
    </row>
    <row r="19" spans="1:7" s="3" customFormat="1" ht="15" customHeight="1" x14ac:dyDescent="0.35">
      <c r="A19" s="16"/>
      <c r="B19"/>
      <c r="C19"/>
      <c r="D19"/>
      <c r="E19"/>
      <c r="F19"/>
      <c r="G19"/>
    </row>
    <row r="20" spans="1:7" s="3" customFormat="1" ht="15" customHeight="1" x14ac:dyDescent="0.35">
      <c r="A20" s="16"/>
      <c r="B20"/>
      <c r="C20"/>
      <c r="D20"/>
      <c r="E20"/>
      <c r="F20"/>
      <c r="G20"/>
    </row>
    <row r="21" spans="1:7" s="3" customFormat="1" ht="15" customHeight="1" x14ac:dyDescent="0.35">
      <c r="A21" s="16"/>
      <c r="B21"/>
      <c r="C21"/>
      <c r="D21"/>
      <c r="E21"/>
      <c r="F21"/>
      <c r="G21"/>
    </row>
    <row r="22" spans="1:7" s="3" customFormat="1" ht="15" customHeight="1" x14ac:dyDescent="0.35">
      <c r="A22" s="16"/>
      <c r="B22"/>
    </row>
    <row r="23" spans="1:7" s="3" customFormat="1" ht="15" customHeight="1" x14ac:dyDescent="0.35">
      <c r="A23" s="16"/>
      <c r="B23"/>
    </row>
    <row r="24" spans="1:7" s="3" customFormat="1" ht="15" customHeight="1" x14ac:dyDescent="0.35">
      <c r="A24" s="16"/>
      <c r="B24"/>
    </row>
    <row r="27" spans="1:7" ht="15" customHeight="1" x14ac:dyDescent="0.35">
      <c r="A27" s="16" t="s">
        <v>210</v>
      </c>
    </row>
    <row r="28" spans="1:7" ht="15" customHeight="1" x14ac:dyDescent="0.35">
      <c r="A28" s="16" t="s">
        <v>251</v>
      </c>
    </row>
    <row r="29" spans="1:7" ht="15" customHeight="1" x14ac:dyDescent="0.35">
      <c r="A29" s="16" t="s">
        <v>323</v>
      </c>
    </row>
    <row r="30" spans="1:7" ht="15" customHeight="1" x14ac:dyDescent="0.35">
      <c r="A30" s="16" t="s">
        <v>253</v>
      </c>
    </row>
    <row r="31" spans="1:7" ht="15" customHeight="1" x14ac:dyDescent="0.35">
      <c r="A31" s="16" t="s">
        <v>254</v>
      </c>
    </row>
    <row r="32" spans="1:7" ht="15" customHeight="1" x14ac:dyDescent="0.35">
      <c r="A32" s="16" t="s">
        <v>255</v>
      </c>
    </row>
    <row r="33" spans="1:7" ht="15" customHeight="1" x14ac:dyDescent="0.35">
      <c r="A33" s="16" t="s">
        <v>338</v>
      </c>
    </row>
    <row r="34" spans="1:7" ht="15" customHeight="1" x14ac:dyDescent="0.35">
      <c r="A34" s="16" t="s">
        <v>196</v>
      </c>
      <c r="C34" t="s">
        <v>46</v>
      </c>
      <c r="D34" t="s">
        <v>26</v>
      </c>
      <c r="E34" t="s">
        <v>47</v>
      </c>
      <c r="F34" t="s">
        <v>48</v>
      </c>
      <c r="G34" t="s">
        <v>49</v>
      </c>
    </row>
    <row r="35" spans="1:7" ht="15" customHeight="1" x14ac:dyDescent="0.35">
      <c r="C35" t="s">
        <v>45</v>
      </c>
      <c r="D35" t="s">
        <v>51</v>
      </c>
      <c r="E35" s="36">
        <v>30000</v>
      </c>
      <c r="F35" s="36">
        <v>15000</v>
      </c>
      <c r="G35" s="36">
        <v>20000</v>
      </c>
    </row>
    <row r="36" spans="1:7" ht="15" customHeight="1" x14ac:dyDescent="0.35">
      <c r="C36" t="s">
        <v>45</v>
      </c>
      <c r="D36" t="s">
        <v>52</v>
      </c>
      <c r="E36" s="36">
        <v>25000</v>
      </c>
      <c r="F36" s="36">
        <v>80000</v>
      </c>
      <c r="G36" s="36">
        <v>120000</v>
      </c>
    </row>
    <row r="37" spans="1:7" ht="15" customHeight="1" x14ac:dyDescent="0.35">
      <c r="C37" t="s">
        <v>53</v>
      </c>
      <c r="D37" t="s">
        <v>64</v>
      </c>
      <c r="E37" s="36">
        <v>80000</v>
      </c>
      <c r="F37" s="36">
        <v>40000</v>
      </c>
      <c r="G37" s="36">
        <v>20000</v>
      </c>
    </row>
    <row r="38" spans="1:7" ht="15" customHeight="1" x14ac:dyDescent="0.35">
      <c r="C38" t="s">
        <v>53</v>
      </c>
      <c r="D38" t="s">
        <v>54</v>
      </c>
      <c r="E38" s="36">
        <v>90000</v>
      </c>
      <c r="F38" s="36">
        <v>35000</v>
      </c>
      <c r="G38" s="36">
        <v>25000</v>
      </c>
    </row>
    <row r="39" spans="1:7" ht="15" customHeight="1" x14ac:dyDescent="0.35">
      <c r="C39" t="s">
        <v>6</v>
      </c>
      <c r="D39" t="s">
        <v>7</v>
      </c>
      <c r="E39" s="36">
        <v>90000</v>
      </c>
      <c r="F39" s="36">
        <v>110000</v>
      </c>
      <c r="G39" s="36">
        <v>200000</v>
      </c>
    </row>
    <row r="40" spans="1:7" ht="15" customHeight="1" x14ac:dyDescent="0.35">
      <c r="C40" t="s">
        <v>6</v>
      </c>
      <c r="D40" t="s">
        <v>8</v>
      </c>
      <c r="E40" s="36">
        <v>75000</v>
      </c>
      <c r="F40" s="36">
        <v>82000</v>
      </c>
      <c r="G40" s="36">
        <v>150000</v>
      </c>
    </row>
    <row r="41" spans="1:7" ht="15" customHeight="1" x14ac:dyDescent="0.35">
      <c r="C41" t="s">
        <v>28</v>
      </c>
      <c r="D41" t="s">
        <v>50</v>
      </c>
      <c r="E41" s="36">
        <v>30000</v>
      </c>
      <c r="F41" s="36">
        <v>80000</v>
      </c>
      <c r="G41" s="36">
        <v>30000</v>
      </c>
    </row>
    <row r="42" spans="1:7" ht="15" customHeight="1" x14ac:dyDescent="0.35">
      <c r="C42" t="s">
        <v>28</v>
      </c>
      <c r="D42" t="s">
        <v>0</v>
      </c>
      <c r="E42" s="36">
        <v>10000</v>
      </c>
      <c r="F42" s="36">
        <v>30000</v>
      </c>
      <c r="G42" s="36">
        <v>40000</v>
      </c>
    </row>
    <row r="47" spans="1:7" ht="15" customHeight="1" x14ac:dyDescent="0.35">
      <c r="A47" s="16" t="s">
        <v>211</v>
      </c>
    </row>
    <row r="48" spans="1:7" ht="15" customHeight="1" x14ac:dyDescent="0.35">
      <c r="A48" s="16" t="s">
        <v>212</v>
      </c>
    </row>
    <row r="49" spans="1:7" ht="15" customHeight="1" x14ac:dyDescent="0.35">
      <c r="A49" s="16" t="s">
        <v>324</v>
      </c>
    </row>
    <row r="50" spans="1:7" ht="15" customHeight="1" x14ac:dyDescent="0.35">
      <c r="A50" s="16" t="s">
        <v>256</v>
      </c>
    </row>
    <row r="51" spans="1:7" ht="15" customHeight="1" x14ac:dyDescent="0.35">
      <c r="A51" s="16" t="s">
        <v>257</v>
      </c>
    </row>
    <row r="52" spans="1:7" ht="15" customHeight="1" x14ac:dyDescent="0.35">
      <c r="A52" s="16" t="s">
        <v>258</v>
      </c>
    </row>
    <row r="53" spans="1:7" ht="15" customHeight="1" x14ac:dyDescent="0.35">
      <c r="A53" s="16" t="s">
        <v>325</v>
      </c>
    </row>
    <row r="54" spans="1:7" ht="15" customHeight="1" x14ac:dyDescent="0.35">
      <c r="A54" s="16" t="s">
        <v>215</v>
      </c>
      <c r="C54" t="s">
        <v>46</v>
      </c>
      <c r="D54" t="s">
        <v>26</v>
      </c>
      <c r="E54" t="s">
        <v>47</v>
      </c>
      <c r="F54" t="s">
        <v>48</v>
      </c>
      <c r="G54" t="s">
        <v>49</v>
      </c>
    </row>
    <row r="55" spans="1:7" ht="15" customHeight="1" x14ac:dyDescent="0.35">
      <c r="C55" t="s">
        <v>45</v>
      </c>
      <c r="D55" t="s">
        <v>51</v>
      </c>
      <c r="E55" s="36">
        <v>30000</v>
      </c>
      <c r="F55" s="36">
        <v>15000</v>
      </c>
      <c r="G55" s="36">
        <v>20000</v>
      </c>
    </row>
    <row r="56" spans="1:7" ht="15" customHeight="1" x14ac:dyDescent="0.35">
      <c r="C56" t="s">
        <v>45</v>
      </c>
      <c r="D56" t="s">
        <v>52</v>
      </c>
      <c r="E56" s="36">
        <v>25000</v>
      </c>
      <c r="F56" s="36">
        <v>80000</v>
      </c>
      <c r="G56" s="36">
        <v>120000</v>
      </c>
    </row>
    <row r="57" spans="1:7" ht="15" customHeight="1" x14ac:dyDescent="0.35">
      <c r="C57" t="s">
        <v>53</v>
      </c>
      <c r="D57" t="s">
        <v>64</v>
      </c>
      <c r="E57" s="36">
        <v>80000</v>
      </c>
      <c r="F57" s="36">
        <v>40000</v>
      </c>
      <c r="G57" s="36">
        <v>20000</v>
      </c>
    </row>
    <row r="58" spans="1:7" ht="15" customHeight="1" x14ac:dyDescent="0.35">
      <c r="C58" t="s">
        <v>53</v>
      </c>
      <c r="D58" t="s">
        <v>54</v>
      </c>
      <c r="E58" s="36">
        <v>90000</v>
      </c>
      <c r="F58" s="36">
        <v>35000</v>
      </c>
      <c r="G58" s="36">
        <v>25000</v>
      </c>
    </row>
    <row r="59" spans="1:7" ht="15" customHeight="1" x14ac:dyDescent="0.35">
      <c r="C59" t="s">
        <v>6</v>
      </c>
      <c r="D59" t="s">
        <v>7</v>
      </c>
      <c r="E59" s="36">
        <v>90000</v>
      </c>
      <c r="F59" s="36">
        <v>110000</v>
      </c>
      <c r="G59" s="36">
        <v>200000</v>
      </c>
    </row>
    <row r="60" spans="1:7" ht="15" customHeight="1" x14ac:dyDescent="0.35">
      <c r="C60" t="s">
        <v>6</v>
      </c>
      <c r="D60" t="s">
        <v>8</v>
      </c>
      <c r="E60" s="36">
        <v>75000</v>
      </c>
      <c r="F60" s="36">
        <v>82000</v>
      </c>
      <c r="G60" s="36">
        <v>150000</v>
      </c>
    </row>
    <row r="61" spans="1:7" ht="15" customHeight="1" x14ac:dyDescent="0.35">
      <c r="C61" t="s">
        <v>28</v>
      </c>
      <c r="D61" t="s">
        <v>50</v>
      </c>
      <c r="E61" s="36">
        <v>30000</v>
      </c>
      <c r="F61" s="36">
        <v>80000</v>
      </c>
      <c r="G61" s="36">
        <v>30000</v>
      </c>
    </row>
    <row r="62" spans="1:7" ht="15" customHeight="1" x14ac:dyDescent="0.35">
      <c r="C62" t="s">
        <v>28</v>
      </c>
      <c r="D62" t="s">
        <v>0</v>
      </c>
      <c r="E62" s="36">
        <v>10000</v>
      </c>
      <c r="F62" s="36">
        <v>30000</v>
      </c>
      <c r="G62" s="36">
        <v>40000</v>
      </c>
    </row>
    <row r="68" spans="1:1" ht="15" customHeight="1" x14ac:dyDescent="0.35">
      <c r="A68" s="16" t="s">
        <v>113</v>
      </c>
    </row>
    <row r="69" spans="1:1" ht="15" customHeight="1" x14ac:dyDescent="0.35">
      <c r="A69" s="16" t="s">
        <v>213</v>
      </c>
    </row>
    <row r="70" spans="1:1" ht="15" customHeight="1" x14ac:dyDescent="0.35">
      <c r="A70" s="16" t="s">
        <v>214</v>
      </c>
    </row>
    <row r="71" spans="1:1" ht="15" customHeight="1" x14ac:dyDescent="0.35">
      <c r="A71" s="16" t="s">
        <v>112</v>
      </c>
    </row>
  </sheetData>
  <conditionalFormatting sqref="C5:G13">
    <cfRule type="colorScale" priority="1">
      <colorScale>
        <cfvo type="min"/>
        <cfvo type="percentile" val="50"/>
        <cfvo type="max"/>
        <color rgb="FFFF0000"/>
        <color rgb="FFFFEB84"/>
        <color rgb="FF00B050"/>
      </colorScale>
    </cfRule>
  </conditionalFormatting>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election activeCell="C6" sqref="C6:C11"/>
    </sheetView>
  </sheetViews>
  <sheetFormatPr defaultColWidth="8.90625" defaultRowHeight="15" customHeight="1" x14ac:dyDescent="0.35"/>
  <cols>
    <col min="1" max="1" width="12.6328125" style="16" customWidth="1"/>
    <col min="2" max="2" width="82.90625" customWidth="1"/>
    <col min="3" max="3" width="13.90625" customWidth="1"/>
    <col min="4" max="4" width="24.453125" customWidth="1"/>
    <col min="5" max="5" width="23.90625" customWidth="1"/>
    <col min="6" max="6" width="15.54296875" customWidth="1"/>
  </cols>
  <sheetData>
    <row r="1" spans="1:6" ht="60" customHeight="1" x14ac:dyDescent="0.35">
      <c r="A1" s="16" t="s">
        <v>134</v>
      </c>
    </row>
    <row r="2" spans="1:6" ht="15" customHeight="1" x14ac:dyDescent="0.35">
      <c r="A2" s="16" t="s">
        <v>345</v>
      </c>
    </row>
    <row r="3" spans="1:6" ht="15" customHeight="1" x14ac:dyDescent="0.35">
      <c r="A3" s="16" t="s">
        <v>259</v>
      </c>
    </row>
    <row r="4" spans="1:6" ht="15" customHeight="1" x14ac:dyDescent="0.35">
      <c r="A4" s="16" t="s">
        <v>346</v>
      </c>
    </row>
    <row r="5" spans="1:6" s="3" customFormat="1" ht="15" customHeight="1" x14ac:dyDescent="0.35">
      <c r="A5" s="16" t="s">
        <v>326</v>
      </c>
      <c r="B5"/>
      <c r="C5" t="s">
        <v>84</v>
      </c>
      <c r="D5" t="s">
        <v>85</v>
      </c>
      <c r="E5"/>
      <c r="F5"/>
    </row>
    <row r="6" spans="1:6" s="3" customFormat="1" ht="15" customHeight="1" x14ac:dyDescent="0.35">
      <c r="A6" s="16" t="s">
        <v>363</v>
      </c>
      <c r="B6"/>
      <c r="C6">
        <f ca="1">YEAR(TODAY())-5</f>
        <v>2020</v>
      </c>
      <c r="D6">
        <v>500</v>
      </c>
      <c r="E6"/>
      <c r="F6"/>
    </row>
    <row r="7" spans="1:6" s="3" customFormat="1" ht="15" customHeight="1" x14ac:dyDescent="0.35">
      <c r="A7" s="16" t="s">
        <v>347</v>
      </c>
      <c r="B7"/>
      <c r="C7">
        <f ca="1">YEAR(TODAY())-4</f>
        <v>2021</v>
      </c>
      <c r="D7">
        <v>800</v>
      </c>
      <c r="E7"/>
      <c r="F7"/>
    </row>
    <row r="8" spans="1:6" s="3" customFormat="1" ht="15" customHeight="1" x14ac:dyDescent="0.35">
      <c r="A8" s="16" t="s">
        <v>260</v>
      </c>
      <c r="B8"/>
      <c r="C8">
        <f ca="1">YEAR(TODAY())-3</f>
        <v>2022</v>
      </c>
      <c r="D8">
        <v>1000</v>
      </c>
      <c r="E8"/>
      <c r="F8"/>
    </row>
    <row r="9" spans="1:6" s="3" customFormat="1" ht="15" customHeight="1" x14ac:dyDescent="0.35">
      <c r="A9" s="48" t="s">
        <v>339</v>
      </c>
      <c r="B9"/>
      <c r="C9">
        <f ca="1">YEAR(TODAY())-2</f>
        <v>2023</v>
      </c>
      <c r="D9">
        <v>900</v>
      </c>
      <c r="E9"/>
      <c r="F9"/>
    </row>
    <row r="10" spans="1:6" s="3" customFormat="1" ht="15" customHeight="1" x14ac:dyDescent="0.35">
      <c r="A10" s="16" t="s">
        <v>118</v>
      </c>
      <c r="B10"/>
      <c r="C10">
        <f ca="1">YEAR(TODAY())-1</f>
        <v>2024</v>
      </c>
      <c r="D10">
        <v>1000</v>
      </c>
      <c r="E10"/>
      <c r="F10"/>
    </row>
    <row r="11" spans="1:6" s="3" customFormat="1" ht="15" customHeight="1" x14ac:dyDescent="0.35">
      <c r="A11" s="16"/>
      <c r="B11"/>
      <c r="C11">
        <f ca="1">YEAR(TODAY())</f>
        <v>2025</v>
      </c>
      <c r="D11">
        <v>1200</v>
      </c>
      <c r="E11"/>
      <c r="F11"/>
    </row>
    <row r="12" spans="1:6" s="3" customFormat="1" ht="15" customHeight="1" x14ac:dyDescent="0.35">
      <c r="A12" s="16"/>
      <c r="B12"/>
      <c r="C12"/>
      <c r="D12"/>
      <c r="E12"/>
      <c r="F12"/>
    </row>
    <row r="13" spans="1:6" s="3" customFormat="1" ht="15" customHeight="1" x14ac:dyDescent="0.35">
      <c r="A13" s="16"/>
      <c r="B13"/>
      <c r="C13"/>
      <c r="D13"/>
      <c r="E13"/>
      <c r="F13"/>
    </row>
    <row r="14" spans="1:6" s="3" customFormat="1" ht="15" customHeight="1" x14ac:dyDescent="0.35">
      <c r="A14" s="16"/>
      <c r="B14"/>
      <c r="C14"/>
      <c r="D14"/>
      <c r="E14"/>
      <c r="F14"/>
    </row>
    <row r="15" spans="1:6" s="3" customFormat="1" ht="15" customHeight="1" x14ac:dyDescent="0.35">
      <c r="A15" s="16"/>
      <c r="B15"/>
      <c r="C15"/>
      <c r="D15"/>
      <c r="E15"/>
      <c r="F15"/>
    </row>
    <row r="16" spans="1:6" s="3" customFormat="1" ht="15" customHeight="1" x14ac:dyDescent="0.35">
      <c r="A16" s="16"/>
      <c r="B16"/>
      <c r="C16"/>
      <c r="D16"/>
      <c r="E16"/>
      <c r="F16"/>
    </row>
    <row r="17" spans="1:6" s="3" customFormat="1" ht="15" customHeight="1" x14ac:dyDescent="0.35">
      <c r="A17" s="16"/>
      <c r="B17"/>
      <c r="C17"/>
      <c r="D17"/>
      <c r="E17"/>
      <c r="F17"/>
    </row>
    <row r="18" spans="1:6" s="3" customFormat="1" ht="15" customHeight="1" x14ac:dyDescent="0.35">
      <c r="A18" s="16"/>
      <c r="B18"/>
      <c r="C18"/>
      <c r="D18"/>
      <c r="E18"/>
      <c r="F18"/>
    </row>
    <row r="19" spans="1:6" s="3" customFormat="1" ht="15" customHeight="1" x14ac:dyDescent="0.35">
      <c r="A19" s="16"/>
      <c r="B19"/>
      <c r="C19"/>
      <c r="D19"/>
      <c r="E19"/>
      <c r="F19"/>
    </row>
    <row r="20" spans="1:6" s="3" customFormat="1" ht="15" customHeight="1" x14ac:dyDescent="0.35">
      <c r="A20" s="16"/>
      <c r="B20"/>
      <c r="C20"/>
      <c r="D20"/>
      <c r="E20"/>
      <c r="F20"/>
    </row>
    <row r="21" spans="1:6" s="3" customFormat="1" ht="15" customHeight="1" x14ac:dyDescent="0.35">
      <c r="A21" s="16"/>
      <c r="B21"/>
      <c r="C21"/>
      <c r="D21"/>
      <c r="E21"/>
      <c r="F21"/>
    </row>
    <row r="22" spans="1:6" s="3" customFormat="1" ht="15" customHeight="1" x14ac:dyDescent="0.35">
      <c r="A22" s="16"/>
      <c r="B22"/>
    </row>
    <row r="23" spans="1:6" s="3" customFormat="1" ht="15" customHeight="1" x14ac:dyDescent="0.35">
      <c r="A23" s="16"/>
      <c r="B23"/>
    </row>
    <row r="24" spans="1:6" s="3" customFormat="1" ht="15" customHeight="1" x14ac:dyDescent="0.35">
      <c r="A24" s="16"/>
      <c r="B24"/>
    </row>
    <row r="27" spans="1:6" ht="15" customHeight="1" x14ac:dyDescent="0.35">
      <c r="A27" s="16" t="s">
        <v>216</v>
      </c>
    </row>
    <row r="28" spans="1:6" ht="15" customHeight="1" x14ac:dyDescent="0.35">
      <c r="A28" s="16" t="s">
        <v>217</v>
      </c>
    </row>
    <row r="29" spans="1:6" ht="15" customHeight="1" x14ac:dyDescent="0.35">
      <c r="A29" s="16" t="s">
        <v>218</v>
      </c>
    </row>
    <row r="30" spans="1:6" ht="15" customHeight="1" x14ac:dyDescent="0.35">
      <c r="A30" s="16" t="s">
        <v>226</v>
      </c>
    </row>
    <row r="31" spans="1:6" ht="15" customHeight="1" x14ac:dyDescent="0.35">
      <c r="A31" s="16" t="s">
        <v>227</v>
      </c>
    </row>
    <row r="32" spans="1:6" ht="15" customHeight="1" x14ac:dyDescent="0.35">
      <c r="A32" s="16" t="s">
        <v>219</v>
      </c>
    </row>
    <row r="33" spans="1:1" ht="15" customHeight="1" x14ac:dyDescent="0.35">
      <c r="A33" s="16" t="s">
        <v>351</v>
      </c>
    </row>
    <row r="34" spans="1:1" ht="15" customHeight="1" x14ac:dyDescent="0.35">
      <c r="A34" s="16" t="s">
        <v>364</v>
      </c>
    </row>
    <row r="35" spans="1:1" ht="15" customHeight="1" x14ac:dyDescent="0.35">
      <c r="A35" s="16" t="s">
        <v>220</v>
      </c>
    </row>
    <row r="52" spans="1:1" ht="15" customHeight="1" x14ac:dyDescent="0.35">
      <c r="A52" s="16" t="s">
        <v>221</v>
      </c>
    </row>
    <row r="53" spans="1:1" ht="15" customHeight="1" x14ac:dyDescent="0.35">
      <c r="A53" s="16" t="s">
        <v>225</v>
      </c>
    </row>
    <row r="54" spans="1:1" ht="15" customHeight="1" x14ac:dyDescent="0.35">
      <c r="A54" s="16" t="s">
        <v>261</v>
      </c>
    </row>
    <row r="55" spans="1:1" ht="15" customHeight="1" x14ac:dyDescent="0.35">
      <c r="A55" s="16" t="s">
        <v>327</v>
      </c>
    </row>
    <row r="56" spans="1:1" ht="15" customHeight="1" x14ac:dyDescent="0.35">
      <c r="A56" s="48" t="s">
        <v>357</v>
      </c>
    </row>
    <row r="57" spans="1:1" ht="15" customHeight="1" x14ac:dyDescent="0.35">
      <c r="A57" s="16" t="s">
        <v>215</v>
      </c>
    </row>
    <row r="67" spans="1:6" ht="15" customHeight="1" x14ac:dyDescent="0.35">
      <c r="D67" s="9" t="s">
        <v>78</v>
      </c>
      <c r="E67" s="9" t="s">
        <v>85</v>
      </c>
      <c r="F67" s="9" t="s">
        <v>86</v>
      </c>
    </row>
    <row r="68" spans="1:6" ht="15" customHeight="1" x14ac:dyDescent="0.35">
      <c r="A68" s="16" t="s">
        <v>113</v>
      </c>
      <c r="D68">
        <f ca="1">YEAR(TODAY())-5</f>
        <v>2020</v>
      </c>
      <c r="E68" s="5">
        <v>500</v>
      </c>
      <c r="F68" s="38">
        <v>5000</v>
      </c>
    </row>
    <row r="69" spans="1:6" ht="15" customHeight="1" x14ac:dyDescent="0.35">
      <c r="A69" s="16" t="s">
        <v>222</v>
      </c>
      <c r="D69">
        <f ca="1">YEAR(TODAY())-4</f>
        <v>2021</v>
      </c>
      <c r="E69">
        <v>800</v>
      </c>
      <c r="F69" s="37">
        <v>11200</v>
      </c>
    </row>
    <row r="70" spans="1:6" ht="15" customHeight="1" x14ac:dyDescent="0.35">
      <c r="A70" s="16" t="s">
        <v>223</v>
      </c>
      <c r="D70">
        <f ca="1">YEAR(TODAY())-3</f>
        <v>2022</v>
      </c>
      <c r="E70" s="5">
        <v>1000</v>
      </c>
      <c r="F70" s="38">
        <v>30000</v>
      </c>
    </row>
    <row r="71" spans="1:6" ht="15" customHeight="1" x14ac:dyDescent="0.35">
      <c r="A71" s="16" t="s">
        <v>224</v>
      </c>
      <c r="D71">
        <f ca="1">YEAR(TODAY())-2</f>
        <v>2023</v>
      </c>
      <c r="E71">
        <v>900</v>
      </c>
      <c r="F71" s="37">
        <v>25000</v>
      </c>
    </row>
    <row r="72" spans="1:6" ht="15" customHeight="1" x14ac:dyDescent="0.35">
      <c r="A72" s="16" t="s">
        <v>112</v>
      </c>
      <c r="D72">
        <f ca="1">YEAR(TODAY())-1</f>
        <v>2024</v>
      </c>
      <c r="E72" s="5">
        <v>1000</v>
      </c>
      <c r="F72" s="38">
        <v>5000</v>
      </c>
    </row>
    <row r="73" spans="1:6" ht="15" customHeight="1" x14ac:dyDescent="0.35">
      <c r="D73">
        <f ca="1">YEAR(TODAY())</f>
        <v>2025</v>
      </c>
      <c r="E73">
        <v>1200</v>
      </c>
      <c r="F73" s="37">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defaultColWidth="8.90625" defaultRowHeight="15" customHeight="1" x14ac:dyDescent="0.35"/>
  <cols>
    <col min="1" max="1" width="12.6328125" style="16" customWidth="1"/>
    <col min="2" max="2" width="82.90625" customWidth="1"/>
    <col min="3" max="3" width="12.453125" customWidth="1"/>
    <col min="4" max="4" width="14" customWidth="1"/>
    <col min="5" max="5" width="12.36328125" bestFit="1" customWidth="1"/>
    <col min="6" max="6" width="13.90625" bestFit="1" customWidth="1"/>
  </cols>
  <sheetData>
    <row r="1" spans="1:6" ht="60" customHeight="1" x14ac:dyDescent="0.35">
      <c r="A1" s="16" t="s">
        <v>135</v>
      </c>
    </row>
    <row r="2" spans="1:6" ht="15" customHeight="1" x14ac:dyDescent="0.35">
      <c r="A2" s="16" t="s">
        <v>328</v>
      </c>
    </row>
    <row r="3" spans="1:6" ht="15" customHeight="1" x14ac:dyDescent="0.35">
      <c r="A3" s="16" t="s">
        <v>262</v>
      </c>
      <c r="C3" t="s">
        <v>78</v>
      </c>
      <c r="D3" t="s">
        <v>79</v>
      </c>
      <c r="E3" t="s">
        <v>27</v>
      </c>
      <c r="F3" t="s">
        <v>1</v>
      </c>
    </row>
    <row r="4" spans="1:6" ht="15" customHeight="1" x14ac:dyDescent="0.35">
      <c r="A4" s="16" t="s">
        <v>228</v>
      </c>
      <c r="C4" s="41">
        <f ca="1">TODAY()-57</f>
        <v>45908</v>
      </c>
      <c r="D4" t="s">
        <v>80</v>
      </c>
      <c r="E4" t="s">
        <v>81</v>
      </c>
      <c r="F4" s="39">
        <v>1400</v>
      </c>
    </row>
    <row r="5" spans="1:6" s="3" customFormat="1" ht="15" customHeight="1" x14ac:dyDescent="0.35">
      <c r="A5" s="16" t="s">
        <v>373</v>
      </c>
      <c r="B5"/>
      <c r="C5" s="41">
        <f ca="1">TODAY()-52</f>
        <v>45913</v>
      </c>
      <c r="D5" t="s">
        <v>71</v>
      </c>
      <c r="E5" t="s">
        <v>82</v>
      </c>
      <c r="F5" s="39">
        <v>1010</v>
      </c>
    </row>
    <row r="6" spans="1:6" s="3" customFormat="1" ht="15" customHeight="1" x14ac:dyDescent="0.35">
      <c r="A6" s="16" t="s">
        <v>374</v>
      </c>
      <c r="B6"/>
      <c r="C6" s="41">
        <f ca="1">TODAY()-35</f>
        <v>45930</v>
      </c>
      <c r="D6" t="s">
        <v>80</v>
      </c>
      <c r="E6" t="s">
        <v>81</v>
      </c>
      <c r="F6" s="39">
        <v>750</v>
      </c>
    </row>
    <row r="7" spans="1:6" s="3" customFormat="1" ht="15" customHeight="1" x14ac:dyDescent="0.35">
      <c r="A7" s="16" t="s">
        <v>376</v>
      </c>
      <c r="B7"/>
      <c r="C7" s="41">
        <f ca="1">TODAY()-31</f>
        <v>45934</v>
      </c>
      <c r="D7" t="s">
        <v>71</v>
      </c>
      <c r="E7" t="s">
        <v>83</v>
      </c>
      <c r="F7" s="39">
        <v>510</v>
      </c>
    </row>
    <row r="8" spans="1:6" s="3" customFormat="1" ht="15" customHeight="1" x14ac:dyDescent="0.35">
      <c r="A8" s="16" t="s">
        <v>118</v>
      </c>
      <c r="B8"/>
      <c r="C8" s="41">
        <f ca="1">TODAY()-11</f>
        <v>45954</v>
      </c>
      <c r="D8" t="s">
        <v>66</v>
      </c>
      <c r="E8" t="s">
        <v>83</v>
      </c>
      <c r="F8" s="39">
        <v>1600</v>
      </c>
    </row>
    <row r="9" spans="1:6" s="3" customFormat="1" ht="15" customHeight="1" x14ac:dyDescent="0.35">
      <c r="A9" s="16"/>
      <c r="B9"/>
      <c r="C9" s="41">
        <f ca="1">TODAY()</f>
        <v>45965</v>
      </c>
      <c r="D9" t="s">
        <v>74</v>
      </c>
      <c r="E9" t="s">
        <v>82</v>
      </c>
      <c r="F9" s="39">
        <v>680</v>
      </c>
    </row>
    <row r="10" spans="1:6" s="3" customFormat="1" ht="15" customHeight="1" x14ac:dyDescent="0.35">
      <c r="A10" s="16"/>
      <c r="B10"/>
      <c r="C10"/>
      <c r="D10"/>
      <c r="E10"/>
      <c r="F10"/>
    </row>
    <row r="11" spans="1:6" s="3" customFormat="1" ht="15" customHeight="1" x14ac:dyDescent="0.35">
      <c r="A11" s="16"/>
      <c r="B11"/>
      <c r="E11" s="12" t="s">
        <v>76</v>
      </c>
      <c r="F11" t="s">
        <v>87</v>
      </c>
    </row>
    <row r="12" spans="1:6" s="3" customFormat="1" ht="15" customHeight="1" x14ac:dyDescent="0.35">
      <c r="A12" s="16"/>
      <c r="B12"/>
      <c r="E12" s="3" t="s">
        <v>81</v>
      </c>
      <c r="F12" s="40">
        <v>2150</v>
      </c>
    </row>
    <row r="13" spans="1:6" s="3" customFormat="1" ht="15" customHeight="1" x14ac:dyDescent="0.35">
      <c r="A13" s="16"/>
      <c r="B13"/>
      <c r="E13" s="3" t="s">
        <v>83</v>
      </c>
      <c r="F13" s="40">
        <v>2110</v>
      </c>
    </row>
    <row r="14" spans="1:6" s="3" customFormat="1" ht="15" customHeight="1" x14ac:dyDescent="0.35">
      <c r="A14" s="16"/>
      <c r="B14"/>
      <c r="E14" s="3" t="s">
        <v>82</v>
      </c>
      <c r="F14" s="40">
        <v>1690</v>
      </c>
    </row>
    <row r="15" spans="1:6" s="3" customFormat="1" ht="15" customHeight="1" x14ac:dyDescent="0.35">
      <c r="A15" s="16"/>
      <c r="B15"/>
      <c r="E15" s="3" t="s">
        <v>77</v>
      </c>
      <c r="F15" s="40">
        <v>5950</v>
      </c>
    </row>
    <row r="16" spans="1:6" s="3" customFormat="1" ht="15" customHeight="1" x14ac:dyDescent="0.35">
      <c r="A16" s="16"/>
      <c r="B16"/>
      <c r="C16"/>
      <c r="D16"/>
      <c r="E16"/>
      <c r="F16"/>
    </row>
    <row r="17" spans="1:6" s="3" customFormat="1" ht="15" customHeight="1" x14ac:dyDescent="0.35">
      <c r="A17" s="16"/>
      <c r="B17"/>
      <c r="C17"/>
      <c r="D17"/>
      <c r="E17"/>
      <c r="F17"/>
    </row>
    <row r="18" spans="1:6" s="3" customFormat="1" ht="15" customHeight="1" x14ac:dyDescent="0.35">
      <c r="A18" s="16"/>
      <c r="B18"/>
      <c r="C18"/>
      <c r="D18"/>
      <c r="E18"/>
      <c r="F18"/>
    </row>
    <row r="19" spans="1:6" s="3" customFormat="1" ht="15" customHeight="1" x14ac:dyDescent="0.35">
      <c r="A19" s="16"/>
      <c r="B19"/>
      <c r="C19"/>
      <c r="D19"/>
      <c r="E19"/>
      <c r="F19"/>
    </row>
    <row r="20" spans="1:6" s="3" customFormat="1" ht="15" customHeight="1" x14ac:dyDescent="0.35">
      <c r="A20" s="16"/>
      <c r="B20"/>
      <c r="C20"/>
      <c r="D20"/>
      <c r="E20"/>
      <c r="F20"/>
    </row>
    <row r="21" spans="1:6" s="3" customFormat="1" ht="15" customHeight="1" x14ac:dyDescent="0.35">
      <c r="A21" s="16"/>
      <c r="B21"/>
      <c r="C21"/>
      <c r="D21"/>
      <c r="E21" t="s">
        <v>375</v>
      </c>
      <c r="F21"/>
    </row>
    <row r="22" spans="1:6" s="3" customFormat="1" ht="15" customHeight="1" x14ac:dyDescent="0.35">
      <c r="A22" s="16"/>
      <c r="B22"/>
      <c r="C22"/>
      <c r="D22"/>
      <c r="E22"/>
    </row>
    <row r="23" spans="1:6" s="3" customFormat="1" ht="15" customHeight="1" x14ac:dyDescent="0.35">
      <c r="A23" s="16"/>
      <c r="B23"/>
      <c r="C23"/>
      <c r="D23"/>
      <c r="E23"/>
    </row>
    <row r="24" spans="1:6" s="3" customFormat="1" ht="15" customHeight="1" x14ac:dyDescent="0.35">
      <c r="A24" s="16"/>
      <c r="B24"/>
      <c r="C24"/>
      <c r="D24"/>
      <c r="E24"/>
    </row>
    <row r="27" spans="1:6" ht="15" customHeight="1" x14ac:dyDescent="0.35">
      <c r="A27" s="16" t="s">
        <v>229</v>
      </c>
    </row>
    <row r="28" spans="1:6" ht="15" customHeight="1" x14ac:dyDescent="0.35">
      <c r="A28" s="16" t="s">
        <v>230</v>
      </c>
    </row>
    <row r="29" spans="1:6" ht="15" customHeight="1" x14ac:dyDescent="0.35">
      <c r="A29" s="16" t="s">
        <v>329</v>
      </c>
    </row>
    <row r="30" spans="1:6" ht="15" customHeight="1" x14ac:dyDescent="0.35">
      <c r="A30" s="16" t="s">
        <v>356</v>
      </c>
    </row>
    <row r="31" spans="1:6" ht="15" customHeight="1" x14ac:dyDescent="0.35">
      <c r="A31" s="16" t="s">
        <v>340</v>
      </c>
    </row>
    <row r="32" spans="1:6" ht="15" customHeight="1" x14ac:dyDescent="0.35">
      <c r="A32" s="16" t="s">
        <v>358</v>
      </c>
    </row>
    <row r="33" spans="1:6" ht="15" customHeight="1" x14ac:dyDescent="0.35">
      <c r="A33" s="48" t="s">
        <v>359</v>
      </c>
    </row>
    <row r="34" spans="1:6" ht="15" customHeight="1" x14ac:dyDescent="0.35">
      <c r="A34" s="48" t="s">
        <v>360</v>
      </c>
      <c r="C34" t="s">
        <v>78</v>
      </c>
      <c r="D34" t="s">
        <v>79</v>
      </c>
      <c r="E34" t="s">
        <v>27</v>
      </c>
      <c r="F34" t="s">
        <v>1</v>
      </c>
    </row>
    <row r="35" spans="1:6" ht="15" customHeight="1" x14ac:dyDescent="0.35">
      <c r="A35" s="16" t="s">
        <v>361</v>
      </c>
      <c r="C35" s="41">
        <f ca="1">TODAY()-57</f>
        <v>45908</v>
      </c>
      <c r="D35" t="s">
        <v>80</v>
      </c>
      <c r="E35" t="s">
        <v>81</v>
      </c>
      <c r="F35" s="39">
        <v>1400</v>
      </c>
    </row>
    <row r="36" spans="1:6" ht="15" customHeight="1" x14ac:dyDescent="0.35">
      <c r="A36" s="16" t="s">
        <v>231</v>
      </c>
      <c r="C36" s="41">
        <f ca="1">TODAY()-52</f>
        <v>45913</v>
      </c>
      <c r="D36" t="s">
        <v>71</v>
      </c>
      <c r="E36" t="s">
        <v>82</v>
      </c>
      <c r="F36" s="39">
        <v>1010</v>
      </c>
    </row>
    <row r="37" spans="1:6" ht="15" customHeight="1" x14ac:dyDescent="0.35">
      <c r="C37" s="41">
        <f ca="1">TODAY()-35</f>
        <v>45930</v>
      </c>
      <c r="D37" t="s">
        <v>80</v>
      </c>
      <c r="E37" t="s">
        <v>81</v>
      </c>
      <c r="F37" s="39">
        <v>750</v>
      </c>
    </row>
    <row r="38" spans="1:6" ht="15" customHeight="1" x14ac:dyDescent="0.35">
      <c r="C38" s="41">
        <f ca="1">TODAY()-31</f>
        <v>45934</v>
      </c>
      <c r="D38" t="s">
        <v>71</v>
      </c>
      <c r="E38" t="s">
        <v>83</v>
      </c>
      <c r="F38" s="39">
        <v>510</v>
      </c>
    </row>
    <row r="39" spans="1:6" ht="15" customHeight="1" x14ac:dyDescent="0.35">
      <c r="C39" s="41">
        <f ca="1">TODAY()-11</f>
        <v>45954</v>
      </c>
      <c r="D39" t="s">
        <v>66</v>
      </c>
      <c r="E39" t="s">
        <v>83</v>
      </c>
      <c r="F39" s="39">
        <v>1600</v>
      </c>
    </row>
    <row r="40" spans="1:6" ht="15" customHeight="1" x14ac:dyDescent="0.35">
      <c r="C40" s="41">
        <f ca="1">TODAY()</f>
        <v>45965</v>
      </c>
      <c r="D40" t="s">
        <v>74</v>
      </c>
      <c r="E40" t="s">
        <v>82</v>
      </c>
      <c r="F40" s="39">
        <v>680</v>
      </c>
    </row>
    <row r="58" spans="1:1" ht="15" customHeight="1" x14ac:dyDescent="0.35">
      <c r="A58" s="16" t="s">
        <v>113</v>
      </c>
    </row>
    <row r="59" spans="1:1" ht="15" customHeight="1" x14ac:dyDescent="0.35">
      <c r="A59" s="16" t="s">
        <v>232</v>
      </c>
    </row>
    <row r="60" spans="1:1" ht="15" customHeight="1" x14ac:dyDescent="0.35">
      <c r="A60" s="16" t="s">
        <v>233</v>
      </c>
    </row>
    <row r="61" spans="1:1" ht="15" customHeight="1" x14ac:dyDescent="0.35">
      <c r="A61" s="16" t="s">
        <v>112</v>
      </c>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defaultColWidth="8.90625" defaultRowHeight="15" customHeight="1" x14ac:dyDescent="0.35"/>
  <cols>
    <col min="1" max="1" width="8.90625" style="16"/>
    <col min="2" max="2" width="95.08984375" customWidth="1"/>
  </cols>
  <sheetData>
    <row r="1" spans="1:2" ht="60" customHeight="1" x14ac:dyDescent="0.35">
      <c r="A1" s="16" t="s">
        <v>121</v>
      </c>
    </row>
    <row r="2" spans="1:2" s="13" customFormat="1" ht="15" customHeight="1" x14ac:dyDescent="0.45">
      <c r="A2" s="16" t="s">
        <v>263</v>
      </c>
      <c r="B2"/>
    </row>
    <row r="3" spans="1:2" s="13" customFormat="1" ht="15" customHeight="1" x14ac:dyDescent="0.45">
      <c r="A3" s="16" t="s">
        <v>331</v>
      </c>
      <c r="B3"/>
    </row>
    <row r="4" spans="1:2" s="14" customFormat="1" ht="15" customHeight="1" x14ac:dyDescent="0.9">
      <c r="A4" s="16" t="s">
        <v>349</v>
      </c>
      <c r="B4"/>
    </row>
    <row r="5" spans="1:2" s="15" customFormat="1" ht="15" customHeight="1" x14ac:dyDescent="0.35">
      <c r="A5" s="16" t="s">
        <v>350</v>
      </c>
      <c r="B5"/>
    </row>
    <row r="6" spans="1:2" s="15" customFormat="1" ht="15" customHeight="1" x14ac:dyDescent="0.35">
      <c r="A6" s="48" t="s">
        <v>352</v>
      </c>
      <c r="B6"/>
    </row>
    <row r="7" spans="1:2" ht="15" customHeight="1" x14ac:dyDescent="0.35">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3.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Start</vt:lpstr>
      <vt:lpstr>Sheet2</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2025-11-04T07:12:44Z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